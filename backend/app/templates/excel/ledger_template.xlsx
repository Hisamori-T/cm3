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2791DA-8E81-4E90-A982-AF68B5D179B9}" xr6:coauthVersionLast="47" xr6:coauthVersionMax="47" xr10:uidLastSave="{00000000-0000-0000-0000-000000000000}"/>
  <bookViews>
    <workbookView xWindow="-120" yWindow="-120" windowWidth="29040" windowHeight="17520" tabRatio="662" activeTab="1" xr2:uid="{00000000-000D-0000-FFFF-FFFF00000000}"/>
  </bookViews>
  <sheets>
    <sheet name="工事台帳  (記入例)" sheetId="94" r:id="rId1"/>
    <sheet name="QCDS" sheetId="71" r:id="rId2"/>
    <sheet name="印紙税額算定表1" sheetId="65" state="hidden" r:id="rId3"/>
  </sheets>
  <externalReferences>
    <externalReference r:id="rId4"/>
  </externalReferences>
  <definedNames>
    <definedName name="_1__123Graph_Bｸﾞﾗﾌ_1" hidden="1">#REF!</definedName>
    <definedName name="_Key1" hidden="1">#REF!</definedName>
    <definedName name="_Order1" hidden="1">255</definedName>
    <definedName name="_Sort" hidden="1">#REF!</definedName>
    <definedName name="KEIHI_KEISAN">[0]!KEIHI_KEISAN</definedName>
    <definedName name="_xlnm.Print_Area" localSheetId="1">QCDS!$A$1:$AT$145</definedName>
    <definedName name="_xlnm.Print_Area" localSheetId="0">'工事台帳  (記入例)'!$A$1:$HS$38</definedName>
    <definedName name="RC造">[1]!RC造</definedName>
    <definedName name="S造">[1]!S造</definedName>
    <definedName name="wrn.全印刷." localSheetId="1" hidden="1">{#N/A,#N/A,FALSE,"設計図書検討(Ⅰ)土木";#N/A,#N/A,FALSE,"施工前連絡協議会土木";#N/A,#N/A,FALSE,"設計図書検討書 (Ⅱ)";#N/A,#N/A,FALSE,"施工計画検討会(Ⅰ)土木";#N/A,#N/A,FALSE,"施工計画検討会(Ⅱ)土木";#N/A,#N/A,FALSE,"ﾌﾟﾛｼﾞｪｸﾄ反省会土木 (1)";#N/A,#N/A,FALSE,"ﾌﾟﾛｼﾞｪｸﾄ反省会土木 (2)";#N/A,#N/A,FALSE,"補修工事検討会土木";#N/A,#N/A,FALSE,"予備用紙"}</definedName>
    <definedName name="wrn.全印刷." hidden="1">{#N/A,#N/A,FALSE,"設計図書検討(Ⅰ)土木";#N/A,#N/A,FALSE,"施工前連絡協議会土木";#N/A,#N/A,FALSE,"設計図書検討書 (Ⅱ)";#N/A,#N/A,FALSE,"施工計画検討会(Ⅰ)土木";#N/A,#N/A,FALSE,"施工計画検討会(Ⅱ)土木";#N/A,#N/A,FALSE,"ﾌﾟﾛｼﾞｪｸﾄ反省会土木 (1)";#N/A,#N/A,FALSE,"ﾌﾟﾛｼﾞｪｸﾄ反省会土木 (2)";#N/A,#N/A,FALSE,"補修工事検討会土木";#N/A,#N/A,FALSE,"予備用紙"}</definedName>
    <definedName name="YOSAN新新新新新新新">[0]!YOSAN新新新新新新新</definedName>
    <definedName name="ああ">[0]!ああ</definedName>
    <definedName name="こ" hidden="1">{#N/A,#N/A,FALSE,"設計図書検討(Ⅰ)土木";#N/A,#N/A,FALSE,"施工前連絡協議会土木";#N/A,#N/A,FALSE,"設計図書検討書 (Ⅱ)";#N/A,#N/A,FALSE,"施工計画検討会(Ⅰ)土木";#N/A,#N/A,FALSE,"施工計画検討会(Ⅱ)土木";#N/A,#N/A,FALSE,"ﾌﾟﾛｼﾞｪｸﾄ反省会土木 (1)";#N/A,#N/A,FALSE,"ﾌﾟﾛｼﾞｪｸﾄ反省会土木 (2)";#N/A,#N/A,FALSE,"補修工事検討会土木";#N/A,#N/A,FALSE,"予備用紙"}</definedName>
    <definedName name="ｺﾝｸﾘｰﾄ">#REF!</definedName>
    <definedName name="その他">[1]!その他</definedName>
    <definedName name="ﾀｲﾙ">#REF!</definedName>
    <definedName name="斡旋">#REF!</definedName>
    <definedName name="衛生">#REF!</definedName>
    <definedName name="乙②">[0]!乙②</definedName>
    <definedName name="外構">#REF!</definedName>
    <definedName name="基本情報の入力">[0]!基本情報の入力</definedName>
    <definedName name="規程呼び出し.規程呼び出し">[0]!規程呼び出し.規程呼び出し</definedName>
    <definedName name="教育施設">[1]!教育施設</definedName>
    <definedName name="金属">#REF!</definedName>
    <definedName name="金属製建具">#REF!</definedName>
    <definedName name="空調">#REF!</definedName>
    <definedName name="型枠">#REF!</definedName>
    <definedName name="工事概要1の入力">[0]!工事概要1の入力</definedName>
    <definedName name="工事金額の入力">[0]!工事金額の入力</definedName>
    <definedName name="工場">[1]!工場</definedName>
    <definedName name="杭">#REF!</definedName>
    <definedName name="左官">#REF!</definedName>
    <definedName name="雑">#REF!</definedName>
    <definedName name="事務所">[1]!事務所</definedName>
    <definedName name="昇降機">#REF!</definedName>
    <definedName name="硝子">#REF!</definedName>
    <definedName name="設備">#REF!</definedName>
    <definedName name="庁舎">[1]!庁舎</definedName>
    <definedName name="直接仮設">#REF!</definedName>
    <definedName name="鉄筋">#REF!</definedName>
    <definedName name="鉄骨">#REF!</definedName>
    <definedName name="店舗">[1]!店舗</definedName>
    <definedName name="電気">#REF!</definedName>
    <definedName name="塗装">#REF!</definedName>
    <definedName name="土">#REF!</definedName>
    <definedName name="東松山傷害2">#REF!</definedName>
    <definedName name="内訳">[1]!S造</definedName>
    <definedName name="文化施設">[1]!文化施設</definedName>
    <definedName name="防水">#REF!</definedName>
    <definedName name="木製建具">#REF!</definedName>
    <definedName name="予備用紙" localSheetId="1" hidden="1">{#N/A,#N/A,FALSE,"設計図書検討(Ⅰ)土木";#N/A,#N/A,FALSE,"施工前連絡協議会土木";#N/A,#N/A,FALSE,"設計図書検討書 (Ⅱ)";#N/A,#N/A,FALSE,"施工計画検討会(Ⅰ)土木";#N/A,#N/A,FALSE,"施工計画検討会(Ⅱ)土木";#N/A,#N/A,FALSE,"ﾌﾟﾛｼﾞｪｸﾄ反省会土木 (1)";#N/A,#N/A,FALSE,"ﾌﾟﾛｼﾞｪｸﾄ反省会土木 (2)";#N/A,#N/A,FALSE,"補修工事検討会土木";#N/A,#N/A,FALSE,"予備用紙"}</definedName>
    <definedName name="予備用紙" hidden="1">{#N/A,#N/A,FALSE,"設計図書検討(Ⅰ)土木";#N/A,#N/A,FALSE,"施工前連絡協議会土木";#N/A,#N/A,FALSE,"設計図書検討書 (Ⅱ)";#N/A,#N/A,FALSE,"施工計画検討会(Ⅰ)土木";#N/A,#N/A,FALSE,"施工計画検討会(Ⅱ)土木";#N/A,#N/A,FALSE,"ﾌﾟﾛｼﾞｪｸﾄ反省会土木 (1)";#N/A,#N/A,FALSE,"ﾌﾟﾛｼﾞｪｸﾄ反省会土木 (2)";#N/A,#N/A,FALSE,"補修工事検討会土木";#N/A,#N/A,FALSE,"予備用紙"}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54" i="94" l="1"/>
  <c r="CE54" i="94"/>
  <c r="BZ54" i="94"/>
  <c r="BU54" i="94"/>
  <c r="BP54" i="94"/>
  <c r="BK54" i="94"/>
  <c r="CO53" i="94"/>
  <c r="CO52" i="94"/>
  <c r="CO51" i="94"/>
  <c r="CO50" i="94"/>
  <c r="CO49" i="94"/>
  <c r="CO48" i="94"/>
  <c r="CO47" i="94"/>
  <c r="CO46" i="94"/>
  <c r="CO45" i="94"/>
  <c r="CO44" i="94"/>
  <c r="CO43" i="94"/>
  <c r="CO42" i="94"/>
  <c r="CO41" i="94"/>
  <c r="CO54" i="94" s="1"/>
  <c r="K40" i="71" l="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C40" i="71"/>
  <c r="C39" i="71"/>
  <c r="C38" i="71"/>
  <c r="C37" i="71"/>
  <c r="C36" i="71"/>
  <c r="C35" i="71"/>
  <c r="C34" i="71"/>
  <c r="C33" i="71"/>
  <c r="C32" i="71"/>
  <c r="C31" i="71"/>
  <c r="C30" i="71"/>
  <c r="C29" i="71"/>
  <c r="C28" i="71"/>
  <c r="C27" i="71"/>
  <c r="C26" i="71"/>
  <c r="C25" i="71"/>
  <c r="C24" i="71"/>
  <c r="C23" i="71"/>
  <c r="C22" i="71"/>
  <c r="C21" i="71"/>
  <c r="C20" i="71"/>
  <c r="C19" i="71"/>
  <c r="C18" i="71"/>
  <c r="C17" i="71"/>
  <c r="C16" i="71"/>
  <c r="C15" i="71"/>
  <c r="CJ37" i="94"/>
  <c r="CE37" i="94"/>
  <c r="BZ37" i="94"/>
  <c r="BU37" i="94"/>
  <c r="BP37" i="94"/>
  <c r="BK37" i="94"/>
  <c r="AX37" i="94"/>
  <c r="BC14" i="94" s="1"/>
  <c r="BI14" i="94" s="1"/>
  <c r="AR37" i="94"/>
  <c r="AS14" i="94" s="1"/>
  <c r="FM36" i="94"/>
  <c r="FH36" i="94"/>
  <c r="DX36" i="94"/>
  <c r="CT36" i="94"/>
  <c r="CO36" i="94"/>
  <c r="BE36" i="94"/>
  <c r="FM35" i="94"/>
  <c r="FH35" i="94"/>
  <c r="DX35" i="94"/>
  <c r="CT35" i="94"/>
  <c r="CO35" i="94"/>
  <c r="BE35" i="94"/>
  <c r="FM34" i="94"/>
  <c r="FH34" i="94"/>
  <c r="DX34" i="94"/>
  <c r="CT34" i="94"/>
  <c r="CO34" i="94"/>
  <c r="BE34" i="94"/>
  <c r="FM33" i="94"/>
  <c r="FH33" i="94"/>
  <c r="DX33" i="94"/>
  <c r="CT33" i="94"/>
  <c r="CO33" i="94"/>
  <c r="BE33" i="94"/>
  <c r="FM32" i="94"/>
  <c r="FH32" i="94"/>
  <c r="DX32" i="94"/>
  <c r="CT32" i="94"/>
  <c r="CO32" i="94"/>
  <c r="BE32" i="94"/>
  <c r="FM31" i="94"/>
  <c r="FH31" i="94"/>
  <c r="DX31" i="94"/>
  <c r="CT31" i="94"/>
  <c r="CO31" i="94"/>
  <c r="BE31" i="94"/>
  <c r="FM30" i="94"/>
  <c r="FH30" i="94"/>
  <c r="DX30" i="94"/>
  <c r="CT30" i="94"/>
  <c r="CO30" i="94"/>
  <c r="BE30" i="94"/>
  <c r="FM29" i="94"/>
  <c r="FH29" i="94"/>
  <c r="DX29" i="94"/>
  <c r="CT29" i="94"/>
  <c r="CO29" i="94"/>
  <c r="BE29" i="94"/>
  <c r="FM28" i="94"/>
  <c r="FH28" i="94"/>
  <c r="DX28" i="94"/>
  <c r="CT28" i="94"/>
  <c r="CO28" i="94"/>
  <c r="BE28" i="94"/>
  <c r="FM27" i="94"/>
  <c r="FH27" i="94"/>
  <c r="DX27" i="94"/>
  <c r="CT27" i="94"/>
  <c r="CO27" i="94"/>
  <c r="BE27" i="94"/>
  <c r="FM26" i="94"/>
  <c r="FH26" i="94"/>
  <c r="DX26" i="94"/>
  <c r="CT26" i="94"/>
  <c r="CO26" i="94"/>
  <c r="BE26" i="94"/>
  <c r="FM25" i="94"/>
  <c r="FH25" i="94"/>
  <c r="DX25" i="94"/>
  <c r="CT25" i="94"/>
  <c r="CO25" i="94"/>
  <c r="BE25" i="94"/>
  <c r="FM24" i="94"/>
  <c r="FH24" i="94"/>
  <c r="DX24" i="94"/>
  <c r="CT24" i="94"/>
  <c r="CO24" i="94"/>
  <c r="BE24" i="94"/>
  <c r="BM20" i="94"/>
  <c r="BC20" i="94"/>
  <c r="AS20" i="94"/>
  <c r="BM17" i="94"/>
  <c r="BC17" i="94"/>
  <c r="AS17" i="94"/>
  <c r="CD16" i="94"/>
  <c r="CD15" i="94"/>
  <c r="L9" i="94"/>
  <c r="AJ7" i="94"/>
  <c r="R6" i="94"/>
  <c r="AW5" i="94"/>
  <c r="CO37" i="94" l="1"/>
  <c r="BM14" i="94" s="1"/>
  <c r="BS14" i="94" s="1"/>
  <c r="BE37" i="94"/>
  <c r="AY14" i="94"/>
  <c r="AN55" i="71" l="1"/>
  <c r="AN56" i="71"/>
  <c r="BL53" i="71" l="1"/>
  <c r="BL52" i="71"/>
  <c r="R54" i="71" l="1"/>
  <c r="K16" i="71" l="1"/>
  <c r="K17" i="71"/>
  <c r="K18" i="71"/>
  <c r="K19" i="71"/>
  <c r="K20" i="71"/>
  <c r="K21" i="71"/>
  <c r="K22" i="71"/>
  <c r="K15" i="71"/>
  <c r="I8" i="71"/>
  <c r="I7" i="71"/>
  <c r="R6" i="71"/>
  <c r="I6" i="71"/>
  <c r="I4" i="71"/>
  <c r="AN44" i="71"/>
  <c r="O50" i="71"/>
  <c r="O51" i="71"/>
  <c r="AN54" i="71"/>
  <c r="K58" i="71"/>
  <c r="K59" i="71"/>
  <c r="AC59" i="71"/>
  <c r="K60" i="71"/>
  <c r="AC60" i="71"/>
  <c r="O70" i="71"/>
  <c r="AA44" i="71" l="1"/>
  <c r="K44" i="71"/>
  <c r="AK45" i="71" l="1"/>
  <c r="A18" i="65" l="1"/>
  <c r="C10" i="65" s="1"/>
  <c r="I5" i="71"/>
  <c r="CD14" i="94" l="1"/>
  <c r="BX49" i="71"/>
  <c r="BX53" i="71"/>
  <c r="BX52" i="71"/>
  <c r="BY16" i="71"/>
  <c r="BX17" i="71"/>
  <c r="BY63" i="71"/>
  <c r="BX23" i="71"/>
  <c r="BY43" i="71"/>
  <c r="BY50" i="71"/>
  <c r="V60" i="71"/>
  <c r="BY18" i="71"/>
  <c r="BX18" i="71"/>
  <c r="BX15" i="71"/>
  <c r="BY59" i="71"/>
  <c r="BX22" i="71"/>
  <c r="BX60" i="71"/>
  <c r="BX44" i="71"/>
  <c r="BX20" i="71"/>
  <c r="BY60" i="71"/>
  <c r="BY62" i="71"/>
  <c r="BY15" i="71"/>
  <c r="BY20" i="71"/>
  <c r="BY44" i="71"/>
  <c r="BY49" i="71"/>
  <c r="BX59" i="71"/>
  <c r="BY61" i="71"/>
  <c r="BX43" i="71"/>
  <c r="BX21" i="71"/>
  <c r="BX51" i="71"/>
  <c r="BY56" i="71"/>
  <c r="BY19" i="71"/>
  <c r="AE45" i="71"/>
  <c r="BY21" i="71"/>
  <c r="BY17" i="71"/>
  <c r="BX19" i="71"/>
  <c r="BX63" i="71"/>
  <c r="BX55" i="71"/>
  <c r="V58" i="71"/>
  <c r="AK8" i="71"/>
  <c r="AN51" i="71" s="1"/>
  <c r="BY23" i="71"/>
  <c r="BY51" i="71"/>
  <c r="BX56" i="71"/>
  <c r="BX16" i="71"/>
  <c r="BY58" i="71"/>
  <c r="AN70" i="71"/>
  <c r="AW86" i="71"/>
  <c r="BX54" i="71"/>
  <c r="BY57" i="71"/>
  <c r="AW88" i="71"/>
  <c r="BY52" i="71"/>
  <c r="BX50" i="71"/>
  <c r="BX57" i="71"/>
  <c r="V59" i="71"/>
  <c r="AN50" i="71"/>
  <c r="BX62" i="71"/>
  <c r="BX58" i="71"/>
  <c r="BY54" i="71"/>
  <c r="BY55" i="71"/>
  <c r="BX61" i="71"/>
  <c r="BY53" i="71"/>
  <c r="BY22" i="71"/>
  <c r="BU16" i="71" l="1"/>
  <c r="BU63" i="71"/>
  <c r="BU22" i="71"/>
  <c r="BU55" i="71"/>
  <c r="BU17" i="71"/>
  <c r="BU18" i="71"/>
  <c r="BU61" i="71"/>
  <c r="BU51" i="71"/>
  <c r="BU21" i="71"/>
  <c r="BU50" i="71"/>
  <c r="BU23" i="71"/>
  <c r="BU57" i="71"/>
  <c r="BU43" i="71"/>
  <c r="BU56" i="71"/>
  <c r="BU19" i="71"/>
  <c r="BU52" i="71"/>
  <c r="BU15" i="71"/>
  <c r="BU58" i="71"/>
  <c r="BU62" i="71"/>
  <c r="BU59" i="71"/>
  <c r="BU20" i="71"/>
  <c r="BU53" i="71"/>
  <c r="BU44" i="71"/>
  <c r="BU49" i="71"/>
  <c r="BU54" i="71"/>
  <c r="V57" i="71"/>
  <c r="AN58" i="71"/>
  <c r="BU60" i="71"/>
  <c r="AN52" i="71" l="1"/>
  <c r="AN53" i="71"/>
  <c r="AN60" i="71"/>
  <c r="AN59" i="71"/>
  <c r="AN57" i="71" l="1"/>
  <c r="AN49" i="71"/>
  <c r="CD13" i="94" l="1"/>
  <c r="O65" i="71"/>
  <c r="V63" i="71"/>
  <c r="AN63" i="71"/>
  <c r="O67" i="71" l="1"/>
  <c r="AJ63" i="71"/>
  <c r="R63" i="71"/>
  <c r="O66" i="71"/>
  <c r="P73" i="71"/>
  <c r="AG65" i="71"/>
  <c r="AQ65" i="71" s="1"/>
  <c r="Y65" i="71"/>
  <c r="P74" i="71"/>
  <c r="AW90" i="71"/>
  <c r="BM15" i="94"/>
  <c r="BC15" i="94"/>
  <c r="AS15" i="94"/>
  <c r="AH74" i="71" l="1"/>
  <c r="AQ74" i="71" s="1"/>
  <c r="Z74" i="71"/>
  <c r="AY15" i="94"/>
  <c r="AS16" i="94"/>
  <c r="Y66" i="71"/>
  <c r="AG66" i="71"/>
  <c r="AQ66" i="71" s="1"/>
  <c r="G78" i="71"/>
  <c r="AH73" i="71"/>
  <c r="AQ73" i="71" s="1"/>
  <c r="Z73" i="71"/>
  <c r="BI15" i="94"/>
  <c r="BC16" i="94"/>
  <c r="BM16" i="94"/>
  <c r="BS15" i="94"/>
  <c r="AG67" i="71"/>
  <c r="AQ67" i="71" s="1"/>
  <c r="Y67" i="71"/>
  <c r="BM19" i="94" l="1"/>
  <c r="BS19" i="94" s="1"/>
  <c r="BS16" i="94"/>
  <c r="AY16" i="94"/>
  <c r="AS19" i="94"/>
  <c r="AY19" i="94" s="1"/>
  <c r="BI16" i="94"/>
  <c r="BC19" i="94"/>
  <c r="BI19" i="94" s="1"/>
  <c r="Y78" i="71"/>
  <c r="Y79" i="71"/>
  <c r="Y81" i="71"/>
  <c r="Y80" i="71"/>
  <c r="Y82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amano</author>
    <author>Administrator</author>
  </authors>
  <commentList>
    <comment ref="AK8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81"/>
            <rFont val="ＭＳ Ｐゴシック"/>
            <family val="3"/>
            <charset val="128"/>
          </rPr>
          <t>請負金が1円多くなってしまう場合は
「請負金(消費税10％含む)」を直接入力してください</t>
        </r>
      </text>
    </comment>
    <comment ref="AW49" authorId="1" shapeId="0" xr:uid="{E670845A-F293-428E-8A01-EAAE5186D773}">
      <text>
        <r>
          <rPr>
            <b/>
            <sz val="9"/>
            <color indexed="81"/>
            <rFont val="MS P ゴシック"/>
            <family val="3"/>
            <charset val="128"/>
          </rPr>
          <t>切替は必ずしてください</t>
        </r>
        <r>
          <rPr>
            <sz val="9"/>
            <color indexed="81"/>
            <rFont val="MS P ゴシック"/>
            <family val="3"/>
            <charset val="128"/>
          </rPr>
          <t xml:space="preserve">
・元請は　●
・下請は　―
</t>
        </r>
      </text>
    </comment>
    <comment ref="AW52" authorId="1" shapeId="0" xr:uid="{5AC24AB1-4B17-4B73-BDFE-A8E2DE800AC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
切替は必ずしてください</t>
        </r>
        <r>
          <rPr>
            <sz val="9"/>
            <color indexed="81"/>
            <rFont val="MS P ゴシック"/>
            <family val="3"/>
            <charset val="128"/>
          </rPr>
          <t xml:space="preserve">
・ 本工事が設備工事または一部設備工事は　●
</t>
        </r>
        <r>
          <rPr>
            <b/>
            <sz val="9"/>
            <color indexed="81"/>
            <rFont val="MS P ゴシック"/>
            <family val="3"/>
            <charset val="128"/>
          </rPr>
          <t>・</t>
        </r>
        <r>
          <rPr>
            <sz val="9"/>
            <color indexed="81"/>
            <rFont val="MS P ゴシック"/>
            <family val="3"/>
            <charset val="128"/>
          </rPr>
          <t xml:space="preserve"> 本工事に設備工事がない場合は　</t>
        </r>
        <r>
          <rPr>
            <b/>
            <sz val="9"/>
            <color indexed="81"/>
            <rFont val="MS P ゴシック"/>
            <family val="3"/>
            <charset val="128"/>
          </rPr>
          <t>―</t>
        </r>
      </text>
    </comment>
  </commentList>
</comments>
</file>

<file path=xl/sharedStrings.xml><?xml version="1.0" encoding="utf-8"?>
<sst xmlns="http://schemas.openxmlformats.org/spreadsheetml/2006/main" count="367" uniqueCount="273">
  <si>
    <t>工事番号</t>
    <rPh sb="0" eb="2">
      <t>コウジ</t>
    </rPh>
    <rPh sb="2" eb="4">
      <t>バンゴウ</t>
    </rPh>
    <phoneticPr fontId="10"/>
  </si>
  <si>
    <t>工事名</t>
    <rPh sb="0" eb="2">
      <t>コウジ</t>
    </rPh>
    <rPh sb="2" eb="3">
      <t>メイ</t>
    </rPh>
    <phoneticPr fontId="10"/>
  </si>
  <si>
    <t>工事場所</t>
    <rPh sb="0" eb="2">
      <t>コウジ</t>
    </rPh>
    <rPh sb="2" eb="4">
      <t>バショ</t>
    </rPh>
    <phoneticPr fontId="10"/>
  </si>
  <si>
    <t>発・受注区分</t>
    <rPh sb="0" eb="1">
      <t>ハツ</t>
    </rPh>
    <rPh sb="2" eb="4">
      <t>ジュチュウ</t>
    </rPh>
    <rPh sb="4" eb="6">
      <t>クブン</t>
    </rPh>
    <phoneticPr fontId="10"/>
  </si>
  <si>
    <t>支払条件</t>
    <rPh sb="0" eb="2">
      <t>シハライ</t>
    </rPh>
    <rPh sb="2" eb="4">
      <t>ジョウケン</t>
    </rPh>
    <phoneticPr fontId="10"/>
  </si>
  <si>
    <t>前施工区分</t>
    <rPh sb="0" eb="1">
      <t>マエ</t>
    </rPh>
    <rPh sb="1" eb="3">
      <t>セコウ</t>
    </rPh>
    <rPh sb="3" eb="5">
      <t>クブン</t>
    </rPh>
    <phoneticPr fontId="10"/>
  </si>
  <si>
    <t>客先担当</t>
    <rPh sb="0" eb="2">
      <t>キャクサキ</t>
    </rPh>
    <rPh sb="2" eb="4">
      <t>タントウ</t>
    </rPh>
    <phoneticPr fontId="10"/>
  </si>
  <si>
    <t>（会社）</t>
    <rPh sb="1" eb="3">
      <t>カイシャ</t>
    </rPh>
    <phoneticPr fontId="10"/>
  </si>
  <si>
    <t>（電話）</t>
    <rPh sb="1" eb="3">
      <t>デンワ</t>
    </rPh>
    <phoneticPr fontId="10"/>
  </si>
  <si>
    <t>当社担当</t>
    <rPh sb="0" eb="2">
      <t>トウシャ</t>
    </rPh>
    <rPh sb="2" eb="4">
      <t>タントウ</t>
    </rPh>
    <phoneticPr fontId="10"/>
  </si>
  <si>
    <t>（営業）</t>
    <rPh sb="1" eb="3">
      <t>エイギョウ</t>
    </rPh>
    <phoneticPr fontId="10"/>
  </si>
  <si>
    <t>（工事）</t>
    <rPh sb="1" eb="3">
      <t>コウジ</t>
    </rPh>
    <phoneticPr fontId="10"/>
  </si>
  <si>
    <t>直接工事費</t>
    <rPh sb="0" eb="2">
      <t>チョクセツ</t>
    </rPh>
    <rPh sb="2" eb="5">
      <t>コウジヒ</t>
    </rPh>
    <phoneticPr fontId="10"/>
  </si>
  <si>
    <t>現場経費</t>
    <rPh sb="0" eb="2">
      <t>ゲンバ</t>
    </rPh>
    <rPh sb="2" eb="4">
      <t>ケイヒ</t>
    </rPh>
    <phoneticPr fontId="10"/>
  </si>
  <si>
    <t>計</t>
    <rPh sb="0" eb="1">
      <t>ケイ</t>
    </rPh>
    <phoneticPr fontId="10"/>
  </si>
  <si>
    <t>実行予算</t>
    <rPh sb="0" eb="2">
      <t>ジッコウ</t>
    </rPh>
    <rPh sb="2" eb="4">
      <t>ヨサン</t>
    </rPh>
    <phoneticPr fontId="10"/>
  </si>
  <si>
    <t>比率</t>
    <rPh sb="0" eb="2">
      <t>ヒリツ</t>
    </rPh>
    <phoneticPr fontId="10"/>
  </si>
  <si>
    <t>工　事　割　出</t>
    <rPh sb="0" eb="1">
      <t>コウ</t>
    </rPh>
    <rPh sb="2" eb="3">
      <t>コト</t>
    </rPh>
    <rPh sb="4" eb="5">
      <t>ワリ</t>
    </rPh>
    <rPh sb="6" eb="7">
      <t>デ</t>
    </rPh>
    <phoneticPr fontId="10"/>
  </si>
  <si>
    <t>案件</t>
    <rPh sb="0" eb="2">
      <t>アンケン</t>
    </rPh>
    <phoneticPr fontId="10"/>
  </si>
  <si>
    <t>（見積提出日</t>
    <rPh sb="1" eb="3">
      <t>ミツ</t>
    </rPh>
    <rPh sb="3" eb="5">
      <t>テイシュツ</t>
    </rPh>
    <rPh sb="5" eb="6">
      <t>ビ</t>
    </rPh>
    <phoneticPr fontId="10"/>
  </si>
  <si>
    <t>年</t>
    <rPh sb="0" eb="1">
      <t>ネン</t>
    </rPh>
    <phoneticPr fontId="10"/>
  </si>
  <si>
    <t>月</t>
    <rPh sb="0" eb="1">
      <t>ガツ</t>
    </rPh>
    <phoneticPr fontId="10"/>
  </si>
  <si>
    <t>　提出金額</t>
    <rPh sb="1" eb="3">
      <t>テイシュツ</t>
    </rPh>
    <rPh sb="3" eb="5">
      <t>キンガク</t>
    </rPh>
    <phoneticPr fontId="10"/>
  </si>
  <si>
    <t>受注</t>
    <rPh sb="0" eb="2">
      <t>ジュチュウ</t>
    </rPh>
    <phoneticPr fontId="10"/>
  </si>
  <si>
    <t>　決定金額</t>
    <rPh sb="1" eb="3">
      <t>ケッテイ</t>
    </rPh>
    <rPh sb="3" eb="5">
      <t>キンガク</t>
    </rPh>
    <phoneticPr fontId="10"/>
  </si>
  <si>
    <t>契約印紙代</t>
    <rPh sb="0" eb="2">
      <t>ケイヤク</t>
    </rPh>
    <rPh sb="2" eb="4">
      <t>インシ</t>
    </rPh>
    <rPh sb="4" eb="5">
      <t>ダイ</t>
    </rPh>
    <phoneticPr fontId="10"/>
  </si>
  <si>
    <t>労災保険料</t>
    <rPh sb="0" eb="2">
      <t>ロウサイ</t>
    </rPh>
    <rPh sb="2" eb="5">
      <t>ホケンリョウ</t>
    </rPh>
    <phoneticPr fontId="10"/>
  </si>
  <si>
    <t>工事保険料</t>
    <rPh sb="0" eb="2">
      <t>コウジ</t>
    </rPh>
    <rPh sb="2" eb="4">
      <t>ホケン</t>
    </rPh>
    <rPh sb="4" eb="5">
      <t>リョウ</t>
    </rPh>
    <phoneticPr fontId="10"/>
  </si>
  <si>
    <t>現場経費　計</t>
    <rPh sb="0" eb="2">
      <t>ゲンバ</t>
    </rPh>
    <rPh sb="2" eb="4">
      <t>ケイヒ</t>
    </rPh>
    <rPh sb="5" eb="6">
      <t>ケイ</t>
    </rPh>
    <phoneticPr fontId="10"/>
  </si>
  <si>
    <t>（担当）</t>
    <rPh sb="1" eb="3">
      <t>タントウ</t>
    </rPh>
    <phoneticPr fontId="10"/>
  </si>
  <si>
    <t>年施工)</t>
    <rPh sb="0" eb="1">
      <t>ネン</t>
    </rPh>
    <rPh sb="1" eb="3">
      <t>セコウ</t>
    </rPh>
    <phoneticPr fontId="10"/>
  </si>
  <si>
    <t>他社　(</t>
    <rPh sb="0" eb="2">
      <t>タシャ</t>
    </rPh>
    <phoneticPr fontId="10"/>
  </si>
  <si>
    <t>日</t>
    <rPh sb="0" eb="1">
      <t>ヒ</t>
    </rPh>
    <phoneticPr fontId="10"/>
  </si>
  <si>
    <t>事務用品費</t>
    <rPh sb="0" eb="2">
      <t>ジム</t>
    </rPh>
    <rPh sb="2" eb="4">
      <t>ヨウヒン</t>
    </rPh>
    <rPh sb="4" eb="5">
      <t>ヒ</t>
    </rPh>
    <phoneticPr fontId="10"/>
  </si>
  <si>
    <t>通信交通費</t>
    <rPh sb="0" eb="2">
      <t>ツウシン</t>
    </rPh>
    <rPh sb="2" eb="5">
      <t>コウツウヒ</t>
    </rPh>
    <phoneticPr fontId="10"/>
  </si>
  <si>
    <t>　)</t>
    <phoneticPr fontId="10"/>
  </si>
  <si>
    <t>事業部長</t>
    <rPh sb="0" eb="2">
      <t>ジギョウ</t>
    </rPh>
    <rPh sb="2" eb="4">
      <t>ブチョウ</t>
    </rPh>
    <phoneticPr fontId="10"/>
  </si>
  <si>
    <t>発注者</t>
  </si>
  <si>
    <t>目標営業利益</t>
    <rPh sb="0" eb="2">
      <t>モクヒョウ</t>
    </rPh>
    <rPh sb="2" eb="4">
      <t>エイギョウ</t>
    </rPh>
    <rPh sb="4" eb="6">
      <t>リエキ</t>
    </rPh>
    <phoneticPr fontId="10"/>
  </si>
  <si>
    <t>）</t>
    <phoneticPr fontId="10"/>
  </si>
  <si>
    <t>以上</t>
    <rPh sb="0" eb="2">
      <t>イジョウ</t>
    </rPh>
    <phoneticPr fontId="26"/>
  </si>
  <si>
    <t>以下</t>
    <rPh sb="0" eb="2">
      <t>イカ</t>
    </rPh>
    <phoneticPr fontId="26"/>
  </si>
  <si>
    <t>印紙税額</t>
    <rPh sb="0" eb="3">
      <t>インシゼイ</t>
    </rPh>
    <rPh sb="3" eb="4">
      <t>ガク</t>
    </rPh>
    <phoneticPr fontId="26"/>
  </si>
  <si>
    <t>担　当</t>
    <rPh sb="0" eb="1">
      <t>タン</t>
    </rPh>
    <rPh sb="2" eb="3">
      <t>トウ</t>
    </rPh>
    <phoneticPr fontId="10"/>
  </si>
  <si>
    <t>%</t>
    <phoneticPr fontId="10"/>
  </si>
  <si>
    <t>経費</t>
    <rPh sb="0" eb="2">
      <t>ケイヒ</t>
    </rPh>
    <phoneticPr fontId="10"/>
  </si>
  <si>
    <t>見積書№</t>
    <rPh sb="0" eb="2">
      <t>ミツモリ</t>
    </rPh>
    <rPh sb="2" eb="3">
      <t>ショ</t>
    </rPh>
    <phoneticPr fontId="10"/>
  </si>
  <si>
    <t>←手入力</t>
    <rPh sb="1" eb="2">
      <t>テ</t>
    </rPh>
    <rPh sb="2" eb="4">
      <t>ニュウリョク</t>
    </rPh>
    <phoneticPr fontId="10"/>
  </si>
  <si>
    <t>～</t>
    <phoneticPr fontId="10"/>
  </si>
  <si>
    <t>取決金額</t>
    <rPh sb="0" eb="2">
      <t>トリキ</t>
    </rPh>
    <rPh sb="2" eb="4">
      <t>キンガク</t>
    </rPh>
    <phoneticPr fontId="10"/>
  </si>
  <si>
    <t>支払計</t>
    <rPh sb="0" eb="2">
      <t>シハライ</t>
    </rPh>
    <rPh sb="2" eb="3">
      <t>ケイ</t>
    </rPh>
    <phoneticPr fontId="10"/>
  </si>
  <si>
    <t>取決差額</t>
    <rPh sb="0" eb="1">
      <t>ト</t>
    </rPh>
    <rPh sb="1" eb="2">
      <t>ケッ</t>
    </rPh>
    <rPh sb="2" eb="4">
      <t>サガク</t>
    </rPh>
    <phoneticPr fontId="10"/>
  </si>
  <si>
    <t>取決見通</t>
    <rPh sb="0" eb="2">
      <t>トリキ</t>
    </rPh>
    <rPh sb="2" eb="4">
      <t>ミトオ</t>
    </rPh>
    <phoneticPr fontId="10"/>
  </si>
  <si>
    <t>(元発注者）</t>
    <rPh sb="1" eb="2">
      <t>モト</t>
    </rPh>
    <rPh sb="2" eb="5">
      <t>ハッチュウシャ</t>
    </rPh>
    <phoneticPr fontId="10"/>
  </si>
  <si>
    <t>精算（支払）見通</t>
    <rPh sb="0" eb="2">
      <t>セイサン</t>
    </rPh>
    <rPh sb="3" eb="5">
      <t>シハライ</t>
    </rPh>
    <rPh sb="6" eb="8">
      <t>ミトオ</t>
    </rPh>
    <phoneticPr fontId="10"/>
  </si>
  <si>
    <t>　実行予算表</t>
    <rPh sb="1" eb="2">
      <t>ミ</t>
    </rPh>
    <rPh sb="2" eb="3">
      <t>イキ</t>
    </rPh>
    <rPh sb="3" eb="4">
      <t>ヨ</t>
    </rPh>
    <rPh sb="4" eb="5">
      <t>サン</t>
    </rPh>
    <rPh sb="5" eb="6">
      <t>ヒョウ</t>
    </rPh>
    <phoneticPr fontId="10"/>
  </si>
  <si>
    <t>　取決見通表</t>
    <rPh sb="1" eb="2">
      <t>トリ</t>
    </rPh>
    <rPh sb="2" eb="3">
      <t>ケッ</t>
    </rPh>
    <rPh sb="3" eb="4">
      <t>ミ</t>
    </rPh>
    <rPh sb="4" eb="5">
      <t>ツウ</t>
    </rPh>
    <rPh sb="5" eb="6">
      <t>ヒョウ</t>
    </rPh>
    <phoneticPr fontId="10"/>
  </si>
  <si>
    <t>※※　支　払　完　了　時　に　は　「　済　」　と　記　載　す　る　事　→　</t>
    <rPh sb="3" eb="4">
      <t>シ</t>
    </rPh>
    <rPh sb="5" eb="6">
      <t>バライ</t>
    </rPh>
    <rPh sb="7" eb="8">
      <t>カン</t>
    </rPh>
    <rPh sb="9" eb="10">
      <t>リョウ</t>
    </rPh>
    <rPh sb="11" eb="12">
      <t>ジ</t>
    </rPh>
    <rPh sb="19" eb="20">
      <t>スミ</t>
    </rPh>
    <rPh sb="25" eb="26">
      <t>キ</t>
    </rPh>
    <rPh sb="27" eb="28">
      <t>ミツル</t>
    </rPh>
    <rPh sb="33" eb="34">
      <t>コト</t>
    </rPh>
    <phoneticPr fontId="10"/>
  </si>
  <si>
    <t>直接工事費　計</t>
    <rPh sb="0" eb="2">
      <t>チョクセツ</t>
    </rPh>
    <rPh sb="2" eb="5">
      <t>コウジヒ</t>
    </rPh>
    <rPh sb="6" eb="7">
      <t>ケイ</t>
    </rPh>
    <phoneticPr fontId="10"/>
  </si>
  <si>
    <t>←</t>
    <phoneticPr fontId="10"/>
  </si>
  <si>
    <t>専門業者取決伺</t>
    <phoneticPr fontId="10"/>
  </si>
  <si>
    <t>ﾁｪｯｸ</t>
    <phoneticPr fontId="10"/>
  </si>
  <si>
    <t>工種</t>
    <rPh sb="0" eb="2">
      <t>コウシュ</t>
    </rPh>
    <phoneticPr fontId="10"/>
  </si>
  <si>
    <t>　精算（支払）見通表</t>
    <rPh sb="1" eb="2">
      <t>セイ</t>
    </rPh>
    <rPh sb="2" eb="3">
      <t>サン</t>
    </rPh>
    <rPh sb="4" eb="5">
      <t>シ</t>
    </rPh>
    <rPh sb="5" eb="6">
      <t>バライ</t>
    </rPh>
    <rPh sb="7" eb="9">
      <t>ミトオ</t>
    </rPh>
    <rPh sb="9" eb="10">
      <t>ヒョウ</t>
    </rPh>
    <phoneticPr fontId="10"/>
  </si>
  <si>
    <t>※増減工事は別台帳を作成してください！</t>
    <rPh sb="1" eb="3">
      <t>ゾウゲン</t>
    </rPh>
    <rPh sb="3" eb="5">
      <t>コウジ</t>
    </rPh>
    <rPh sb="6" eb="7">
      <t>ベツ</t>
    </rPh>
    <rPh sb="7" eb="9">
      <t>ダイチョウ</t>
    </rPh>
    <rPh sb="10" eb="12">
      <t>サクセイ</t>
    </rPh>
    <phoneticPr fontId="10"/>
  </si>
  <si>
    <t>入力必須です</t>
    <rPh sb="0" eb="2">
      <t>ニュウリョク</t>
    </rPh>
    <rPh sb="2" eb="4">
      <t>ヒッス</t>
    </rPh>
    <phoneticPr fontId="10"/>
  </si>
  <si>
    <t>（専門業者取決伺ﾁｪｯｸ欄　ㇾ　のみ表示します）</t>
    <rPh sb="1" eb="3">
      <t>センモン</t>
    </rPh>
    <rPh sb="3" eb="5">
      <t>ギョウシャ</t>
    </rPh>
    <rPh sb="12" eb="13">
      <t>ラン</t>
    </rPh>
    <phoneticPr fontId="10"/>
  </si>
  <si>
    <t>工期（契約）</t>
    <rPh sb="0" eb="2">
      <t>コウキ</t>
    </rPh>
    <rPh sb="3" eb="5">
      <t>ケイヤク</t>
    </rPh>
    <phoneticPr fontId="10"/>
  </si>
  <si>
    <t>残支払</t>
    <rPh sb="0" eb="1">
      <t>ザン</t>
    </rPh>
    <rPh sb="1" eb="3">
      <t>シハライ</t>
    </rPh>
    <phoneticPr fontId="10"/>
  </si>
  <si>
    <t>↓</t>
    <phoneticPr fontId="10"/>
  </si>
  <si>
    <t>元請 ・下請</t>
    <rPh sb="0" eb="1">
      <t>モト</t>
    </rPh>
    <rPh sb="1" eb="2">
      <t>ウ</t>
    </rPh>
    <rPh sb="4" eb="6">
      <t>シタウ</t>
    </rPh>
    <phoneticPr fontId="10"/>
  </si>
  <si>
    <t>特命 ・競争</t>
    <rPh sb="0" eb="2">
      <t>トクメイ</t>
    </rPh>
    <rPh sb="4" eb="6">
      <t>キョウソウ</t>
    </rPh>
    <phoneticPr fontId="10"/>
  </si>
  <si>
    <t>民間  ・官庁</t>
    <rPh sb="0" eb="2">
      <t>ミンカン</t>
    </rPh>
    <rPh sb="5" eb="7">
      <t>カンチョウ</t>
    </rPh>
    <phoneticPr fontId="10"/>
  </si>
  <si>
    <t>月〆</t>
    <rPh sb="0" eb="1">
      <t>ガツ</t>
    </rPh>
    <phoneticPr fontId="10"/>
  </si>
  <si>
    <t>工事概要 ・情報経緯 ・発注者要望事項</t>
    <rPh sb="0" eb="2">
      <t>コウジ</t>
    </rPh>
    <rPh sb="2" eb="4">
      <t>ガイヨウ</t>
    </rPh>
    <rPh sb="6" eb="8">
      <t>ジョウホウ</t>
    </rPh>
    <rPh sb="8" eb="10">
      <t>ケイイ</t>
    </rPh>
    <rPh sb="12" eb="15">
      <t>ハッチュウシャ</t>
    </rPh>
    <rPh sb="15" eb="17">
      <t>ヨウボウ</t>
    </rPh>
    <rPh sb="17" eb="19">
      <t>ジコウ</t>
    </rPh>
    <phoneticPr fontId="10"/>
  </si>
  <si>
    <t>■</t>
  </si>
  <si>
    <t>当社　(</t>
    <rPh sb="0" eb="2">
      <t>トウシャ</t>
    </rPh>
    <phoneticPr fontId="10"/>
  </si>
  <si>
    <r>
      <t>←　</t>
    </r>
    <r>
      <rPr>
        <b/>
        <sz val="10"/>
        <rFont val="ＭＳ Ｐゴシック"/>
        <family val="3"/>
        <charset val="128"/>
      </rPr>
      <t/>
    </r>
    <phoneticPr fontId="10"/>
  </si>
  <si>
    <t>印紙税</t>
    <rPh sb="0" eb="2">
      <t>インシ</t>
    </rPh>
    <rPh sb="2" eb="3">
      <t>ゼイ</t>
    </rPh>
    <phoneticPr fontId="10"/>
  </si>
  <si>
    <t>領収書</t>
    <rPh sb="0" eb="3">
      <t>リョウシュウショ</t>
    </rPh>
    <phoneticPr fontId="10"/>
  </si>
  <si>
    <t>雑費</t>
    <rPh sb="0" eb="2">
      <t>ザッピ</t>
    </rPh>
    <phoneticPr fontId="10"/>
  </si>
  <si>
    <t>　　　（現金）</t>
    <rPh sb="4" eb="6">
      <t>ゲンキン</t>
    </rPh>
    <phoneticPr fontId="10"/>
  </si>
  <si>
    <t>出金（手形）</t>
    <rPh sb="0" eb="2">
      <t>シュッキン</t>
    </rPh>
    <rPh sb="3" eb="5">
      <t>テガタ</t>
    </rPh>
    <phoneticPr fontId="10"/>
  </si>
  <si>
    <t>入金（手形）</t>
    <rPh sb="0" eb="2">
      <t>ニュウキン</t>
    </rPh>
    <rPh sb="3" eb="5">
      <t>テガタ</t>
    </rPh>
    <phoneticPr fontId="10"/>
  </si>
  <si>
    <t>請負出来高</t>
    <rPh sb="0" eb="2">
      <t>ウケオイ</t>
    </rPh>
    <rPh sb="2" eb="5">
      <t>デキダカ</t>
    </rPh>
    <phoneticPr fontId="10"/>
  </si>
  <si>
    <t>入力チェック欄（０が正しい）</t>
    <rPh sb="0" eb="2">
      <t>ニュウリョク</t>
    </rPh>
    <rPh sb="6" eb="7">
      <t>ラン</t>
    </rPh>
    <rPh sb="10" eb="11">
      <t>タダ</t>
    </rPh>
    <phoneticPr fontId="10"/>
  </si>
  <si>
    <t>月</t>
    <rPh sb="0" eb="1">
      <t>ツキ</t>
    </rPh>
    <phoneticPr fontId="10"/>
  </si>
  <si>
    <t>□入出金予定表（千円） 暦月にて記入</t>
    <rPh sb="1" eb="4">
      <t>ニュウシュッキン</t>
    </rPh>
    <rPh sb="4" eb="6">
      <t>ヨテイ</t>
    </rPh>
    <rPh sb="6" eb="7">
      <t>ヒョウ</t>
    </rPh>
    <rPh sb="8" eb="10">
      <t>センエン</t>
    </rPh>
    <rPh sb="12" eb="13">
      <t>レキ</t>
    </rPh>
    <rPh sb="13" eb="14">
      <t>ゲツ</t>
    </rPh>
    <rPh sb="16" eb="18">
      <t>キニュウ</t>
    </rPh>
    <phoneticPr fontId="10"/>
  </si>
  <si>
    <t>円</t>
    <rPh sb="0" eb="1">
      <t>エン</t>
    </rPh>
    <phoneticPr fontId="10"/>
  </si>
  <si>
    <t>工事原価Ⅰ</t>
    <rPh sb="0" eb="2">
      <t>コウジ</t>
    </rPh>
    <rPh sb="2" eb="4">
      <t>ゲンカ</t>
    </rPh>
    <phoneticPr fontId="10"/>
  </si>
  <si>
    <t>工事担当</t>
    <rPh sb="0" eb="2">
      <t>コウジ</t>
    </rPh>
    <rPh sb="2" eb="4">
      <t>タントウ</t>
    </rPh>
    <phoneticPr fontId="10"/>
  </si>
  <si>
    <t>工事統括部長</t>
    <rPh sb="2" eb="4">
      <t>トウカツ</t>
    </rPh>
    <phoneticPr fontId="10"/>
  </si>
  <si>
    <t>工事価格</t>
    <rPh sb="0" eb="2">
      <t>コウジ</t>
    </rPh>
    <rPh sb="2" eb="4">
      <t>カカク</t>
    </rPh>
    <phoneticPr fontId="10"/>
  </si>
  <si>
    <t>実行比率</t>
    <rPh sb="0" eb="2">
      <t>ジッコウ</t>
    </rPh>
    <rPh sb="2" eb="4">
      <t>ヒリツ</t>
    </rPh>
    <phoneticPr fontId="10"/>
  </si>
  <si>
    <t>※顧客提出価格試算表</t>
    <rPh sb="1" eb="3">
      <t>コキャク</t>
    </rPh>
    <rPh sb="3" eb="5">
      <t>テイシュツ</t>
    </rPh>
    <rPh sb="5" eb="7">
      <t>カカク</t>
    </rPh>
    <rPh sb="7" eb="9">
      <t>シサン</t>
    </rPh>
    <rPh sb="9" eb="10">
      <t>ヒョウ</t>
    </rPh>
    <phoneticPr fontId="10"/>
  </si>
  <si>
    <r>
      <t>はｴｸｾﾙ計算式が入っているので入力無用（</t>
    </r>
    <r>
      <rPr>
        <b/>
        <sz val="10"/>
        <rFont val="ＭＳ Ｐゴシック"/>
        <family val="3"/>
        <charset val="128"/>
      </rPr>
      <t>太数字</t>
    </r>
    <r>
      <rPr>
        <sz val="10"/>
        <rFont val="ＭＳ Ｐゴシック"/>
        <family val="3"/>
        <charset val="128"/>
      </rPr>
      <t>で出力されます）</t>
    </r>
    <rPh sb="16" eb="18">
      <t>ニュウリョク</t>
    </rPh>
    <rPh sb="18" eb="20">
      <t>ムヨウ</t>
    </rPh>
    <rPh sb="21" eb="22">
      <t>フト</t>
    </rPh>
    <rPh sb="22" eb="24">
      <t>スウジ</t>
    </rPh>
    <rPh sb="25" eb="27">
      <t>シュツリョク</t>
    </rPh>
    <phoneticPr fontId="10"/>
  </si>
  <si>
    <t>％</t>
  </si>
  <si>
    <t>営利率</t>
    <rPh sb="0" eb="1">
      <t>エイ</t>
    </rPh>
    <rPh sb="1" eb="3">
      <t>リリツ</t>
    </rPh>
    <phoneticPr fontId="10"/>
  </si>
  <si>
    <t>営業利益②</t>
    <rPh sb="0" eb="2">
      <t>エイギョウ</t>
    </rPh>
    <rPh sb="3" eb="4">
      <t>エキ</t>
    </rPh>
    <phoneticPr fontId="10"/>
  </si>
  <si>
    <t>実行比率</t>
    <rPh sb="2" eb="4">
      <t>ヒリツ</t>
    </rPh>
    <phoneticPr fontId="10"/>
  </si>
  <si>
    <t>営業利益①</t>
    <rPh sb="0" eb="2">
      <t>エイギョウ</t>
    </rPh>
    <rPh sb="3" eb="4">
      <t>エキ</t>
    </rPh>
    <phoneticPr fontId="10"/>
  </si>
  <si>
    <t>←金利注意</t>
    <rPh sb="1" eb="3">
      <t>キンリ</t>
    </rPh>
    <rPh sb="3" eb="5">
      <t>チュウイ</t>
    </rPh>
    <phoneticPr fontId="10"/>
  </si>
  <si>
    <t>金利</t>
  </si>
  <si>
    <t>Ｃ　その他経費</t>
  </si>
  <si>
    <t>粗利益率</t>
    <rPh sb="0" eb="1">
      <t>アラ</t>
    </rPh>
    <rPh sb="1" eb="4">
      <t>リエキリツ</t>
    </rPh>
    <phoneticPr fontId="10"/>
  </si>
  <si>
    <t>粗利益</t>
    <rPh sb="2" eb="3">
      <t>エキ</t>
    </rPh>
    <phoneticPr fontId="10"/>
  </si>
  <si>
    <t>原価率</t>
  </si>
  <si>
    <t>工事原価</t>
    <rPh sb="0" eb="2">
      <t>コウジ</t>
    </rPh>
    <rPh sb="2" eb="4">
      <t>ゲンカ</t>
    </rPh>
    <phoneticPr fontId="10"/>
  </si>
  <si>
    <t>直工利益率</t>
    <rPh sb="0" eb="1">
      <t>チョク</t>
    </rPh>
    <rPh sb="1" eb="2">
      <t>コウ</t>
    </rPh>
    <rPh sb="2" eb="4">
      <t>リエキ</t>
    </rPh>
    <rPh sb="4" eb="5">
      <t>リツ</t>
    </rPh>
    <phoneticPr fontId="10"/>
  </si>
  <si>
    <t>直工利益</t>
    <rPh sb="0" eb="1">
      <t>チョク</t>
    </rPh>
    <rPh sb="1" eb="2">
      <t>コウ</t>
    </rPh>
    <rPh sb="2" eb="4">
      <t>リエキ</t>
    </rPh>
    <phoneticPr fontId="10"/>
  </si>
  <si>
    <t>直工率</t>
    <rPh sb="0" eb="2">
      <t>チョッコウ</t>
    </rPh>
    <rPh sb="2" eb="3">
      <t>リツ</t>
    </rPh>
    <phoneticPr fontId="10"/>
  </si>
  <si>
    <t>直工費</t>
    <rPh sb="0" eb="1">
      <t>チョク</t>
    </rPh>
    <rPh sb="1" eb="2">
      <t>コウ</t>
    </rPh>
    <rPh sb="2" eb="3">
      <t>ヒ</t>
    </rPh>
    <phoneticPr fontId="10"/>
  </si>
  <si>
    <r>
      <t>　直工費</t>
    </r>
    <r>
      <rPr>
        <sz val="9"/>
        <rFont val="ＭＳ Ｐゴシック"/>
        <family val="3"/>
        <charset val="128"/>
      </rPr>
      <t>（Ａ+現場経費）</t>
    </r>
    <rPh sb="1" eb="3">
      <t>チョッコウ</t>
    </rPh>
    <rPh sb="3" eb="4">
      <t>ヒ</t>
    </rPh>
    <rPh sb="7" eb="11">
      <t>ゲンバケイヒ</t>
    </rPh>
    <phoneticPr fontId="10"/>
  </si>
  <si>
    <t>※人件費単価</t>
    <rPh sb="1" eb="4">
      <t>ジンケンヒ</t>
    </rPh>
    <rPh sb="4" eb="6">
      <t>タンカ</t>
    </rPh>
    <phoneticPr fontId="10"/>
  </si>
  <si>
    <t>②現場経費+小計(2)</t>
    <rPh sb="1" eb="3">
      <t>ゲンバ</t>
    </rPh>
    <rPh sb="3" eb="5">
      <t>ケイヒ</t>
    </rPh>
    <phoneticPr fontId="10"/>
  </si>
  <si>
    <t>①現場経費+小計(1)</t>
    <rPh sb="1" eb="3">
      <t>ゲンバ</t>
    </rPh>
    <rPh sb="3" eb="5">
      <t>ケイヒ</t>
    </rPh>
    <phoneticPr fontId="10"/>
  </si>
  <si>
    <t>計算根拠を記入（人件費単価×工期×従事率×人数）</t>
    <rPh sb="0" eb="2">
      <t>ケイサン</t>
    </rPh>
    <rPh sb="2" eb="4">
      <t>コンキョ</t>
    </rPh>
    <rPh sb="5" eb="7">
      <t>キニュウ</t>
    </rPh>
    <rPh sb="8" eb="11">
      <t>ジンケンヒ</t>
    </rPh>
    <rPh sb="11" eb="13">
      <t>タンカ</t>
    </rPh>
    <rPh sb="14" eb="16">
      <t>コウキ</t>
    </rPh>
    <rPh sb="17" eb="19">
      <t>ジュウジ</t>
    </rPh>
    <rPh sb="19" eb="20">
      <t>リツ</t>
    </rPh>
    <rPh sb="21" eb="23">
      <t>ニンズウ</t>
    </rPh>
    <phoneticPr fontId="10"/>
  </si>
  <si>
    <t>※1：実際の現場人件費の計算根拠＞</t>
    <rPh sb="12" eb="14">
      <t>ケイサン</t>
    </rPh>
    <rPh sb="14" eb="16">
      <t>コンキョ</t>
    </rPh>
    <phoneticPr fontId="10"/>
  </si>
  <si>
    <t>　その他</t>
    <rPh sb="3" eb="4">
      <t>タ</t>
    </rPh>
    <phoneticPr fontId="10"/>
  </si>
  <si>
    <t>　工事部経費（共通）</t>
    <rPh sb="1" eb="3">
      <t>コウジ</t>
    </rPh>
    <rPh sb="3" eb="4">
      <t>ブ</t>
    </rPh>
    <rPh sb="4" eb="6">
      <t>ケイヒ</t>
    </rPh>
    <rPh sb="7" eb="9">
      <t>キョウツウ</t>
    </rPh>
    <phoneticPr fontId="10"/>
  </si>
  <si>
    <t>実際の現場人件費を記入（対象案件：3,000千円以上）</t>
    <rPh sb="9" eb="11">
      <t>キニュウ</t>
    </rPh>
    <rPh sb="12" eb="14">
      <t>タイショウ</t>
    </rPh>
    <rPh sb="14" eb="16">
      <t>アンケン</t>
    </rPh>
    <rPh sb="22" eb="23">
      <t>セン</t>
    </rPh>
    <rPh sb="23" eb="24">
      <t>エン</t>
    </rPh>
    <rPh sb="24" eb="26">
      <t>イジョウ</t>
    </rPh>
    <phoneticPr fontId="10"/>
  </si>
  <si>
    <r>
      <t>実際の現場人件費</t>
    </r>
    <r>
      <rPr>
        <vertAlign val="superscript"/>
        <sz val="9"/>
        <rFont val="ＭＳ Ｐゴシック"/>
        <family val="3"/>
        <charset val="128"/>
      </rPr>
      <t>※1</t>
    </r>
    <rPh sb="0" eb="2">
      <t>ジッサイ</t>
    </rPh>
    <rPh sb="3" eb="5">
      <t>ゲンバ</t>
    </rPh>
    <rPh sb="5" eb="8">
      <t>ジンケンヒ</t>
    </rPh>
    <phoneticPr fontId="10"/>
  </si>
  <si>
    <t>　現場担当者給与</t>
    <rPh sb="1" eb="3">
      <t>ゲンバ</t>
    </rPh>
    <rPh sb="3" eb="6">
      <t>タントウシャ</t>
    </rPh>
    <rPh sb="6" eb="8">
      <t>キュウヨ</t>
    </rPh>
    <phoneticPr fontId="10"/>
  </si>
  <si>
    <t>小計(2)</t>
    <rPh sb="0" eb="2">
      <t>ショウケイ</t>
    </rPh>
    <phoneticPr fontId="10"/>
  </si>
  <si>
    <t>小計(1)</t>
    <rPh sb="0" eb="2">
      <t>ショウケイ</t>
    </rPh>
    <phoneticPr fontId="10"/>
  </si>
  <si>
    <t>事業部経費</t>
    <rPh sb="0" eb="2">
      <t>ジギョウ</t>
    </rPh>
    <rPh sb="2" eb="3">
      <t>ブ</t>
    </rPh>
    <rPh sb="3" eb="5">
      <t>ケイヒ</t>
    </rPh>
    <phoneticPr fontId="10"/>
  </si>
  <si>
    <t>　※ 別途加入の場合は直接入力</t>
    <rPh sb="3" eb="5">
      <t>ベット</t>
    </rPh>
    <rPh sb="5" eb="7">
      <t>カニュウ</t>
    </rPh>
    <rPh sb="8" eb="10">
      <t>バアイ</t>
    </rPh>
    <rPh sb="11" eb="13">
      <t>チョクセツ</t>
    </rPh>
    <rPh sb="13" eb="15">
      <t>ニュウリョク</t>
    </rPh>
    <phoneticPr fontId="10"/>
  </si>
  <si>
    <t>・必要に応じ自動計算</t>
    <rPh sb="1" eb="3">
      <t>ヒツヨウ</t>
    </rPh>
    <rPh sb="4" eb="5">
      <t>オウ</t>
    </rPh>
    <rPh sb="6" eb="8">
      <t>ジドウ</t>
    </rPh>
    <rPh sb="8" eb="10">
      <t>ケイサン</t>
    </rPh>
    <phoneticPr fontId="10"/>
  </si>
  <si>
    <r>
      <t>特殊保険</t>
    </r>
    <r>
      <rPr>
        <sz val="7"/>
        <rFont val="ＭＳ Ｐゴシック"/>
        <family val="3"/>
        <charset val="128"/>
      </rPr>
      <t>（設備生産物、解体工事賠責等）</t>
    </r>
    <rPh sb="5" eb="7">
      <t>セツビ</t>
    </rPh>
    <rPh sb="7" eb="10">
      <t>セイサンブツ</t>
    </rPh>
    <rPh sb="11" eb="13">
      <t>カイタイ</t>
    </rPh>
    <rPh sb="13" eb="15">
      <t>コウジ</t>
    </rPh>
    <rPh sb="15" eb="17">
      <t>バイセキ</t>
    </rPh>
    <rPh sb="17" eb="18">
      <t>トウ</t>
    </rPh>
    <phoneticPr fontId="10"/>
  </si>
  <si>
    <t>－</t>
  </si>
  <si>
    <t>・自動計算</t>
    <rPh sb="1" eb="3">
      <t>ジドウ</t>
    </rPh>
    <rPh sb="3" eb="5">
      <t>ケイサン</t>
    </rPh>
    <phoneticPr fontId="10"/>
  </si>
  <si>
    <t>売り上げの領収書</t>
  </si>
  <si>
    <t>請負に関する契約印紙代</t>
  </si>
  <si>
    <t>●</t>
  </si>
  <si>
    <t>工事保険・賠償責任保険</t>
    <rPh sb="5" eb="7">
      <t>バイショウ</t>
    </rPh>
    <rPh sb="7" eb="9">
      <t>セキニン</t>
    </rPh>
    <rPh sb="9" eb="11">
      <t>ホケン</t>
    </rPh>
    <phoneticPr fontId="10"/>
  </si>
  <si>
    <t>労災保険（一括有期）</t>
    <rPh sb="0" eb="2">
      <t>ロウサイ</t>
    </rPh>
    <rPh sb="2" eb="4">
      <t>ホケン</t>
    </rPh>
    <rPh sb="5" eb="7">
      <t>イッカツ</t>
    </rPh>
    <rPh sb="7" eb="9">
      <t>ユウキ</t>
    </rPh>
    <phoneticPr fontId="10"/>
  </si>
  <si>
    <t>小計</t>
    <rPh sb="0" eb="1">
      <t>ショウ</t>
    </rPh>
    <rPh sb="1" eb="2">
      <t>ケイ</t>
    </rPh>
    <phoneticPr fontId="10"/>
  </si>
  <si>
    <t>（率）</t>
    <rPh sb="1" eb="2">
      <t>リツ</t>
    </rPh>
    <phoneticPr fontId="10"/>
  </si>
  <si>
    <t>保険要否</t>
    <rPh sb="0" eb="2">
      <t>ホケン</t>
    </rPh>
    <rPh sb="2" eb="4">
      <t>ヨウヒ</t>
    </rPh>
    <phoneticPr fontId="10"/>
  </si>
  <si>
    <t>金額</t>
  </si>
  <si>
    <t>計算式</t>
  </si>
  <si>
    <t>振り替え項目</t>
  </si>
  <si>
    <t>ＮＯ</t>
  </si>
  <si>
    <t>Ｂ　経費関係</t>
  </si>
  <si>
    <t>工事費</t>
  </si>
  <si>
    <t>Ａ直接工事費合計</t>
  </si>
  <si>
    <t>数値以外の入力不可</t>
    <rPh sb="0" eb="2">
      <t>スウチ</t>
    </rPh>
    <rPh sb="2" eb="4">
      <t>イガイ</t>
    </rPh>
    <rPh sb="5" eb="7">
      <t>ニュウリョク</t>
    </rPh>
    <rPh sb="7" eb="9">
      <t>フカ</t>
    </rPh>
    <phoneticPr fontId="10"/>
  </si>
  <si>
    <t>Ａ－３その他計</t>
    <rPh sb="6" eb="7">
      <t>ケイ</t>
    </rPh>
    <phoneticPr fontId="10"/>
  </si>
  <si>
    <t>A「直接工事費」の予算/B「経費関係」の金額セルに</t>
    <rPh sb="2" eb="4">
      <t>チョクセツ</t>
    </rPh>
    <rPh sb="4" eb="7">
      <t>コウジヒ</t>
    </rPh>
    <rPh sb="9" eb="11">
      <t>ヨサン</t>
    </rPh>
    <rPh sb="14" eb="16">
      <t>ケイヒ</t>
    </rPh>
    <rPh sb="16" eb="18">
      <t>カンケイ</t>
    </rPh>
    <rPh sb="20" eb="22">
      <t>キンガク</t>
    </rPh>
    <phoneticPr fontId="10"/>
  </si>
  <si>
    <t>産業廃棄物処理費</t>
  </si>
  <si>
    <t>リンクの貼付け不可</t>
    <rPh sb="4" eb="5">
      <t>ハ</t>
    </rPh>
    <rPh sb="5" eb="6">
      <t>ツ</t>
    </rPh>
    <rPh sb="7" eb="9">
      <t>フカ</t>
    </rPh>
    <phoneticPr fontId="10"/>
  </si>
  <si>
    <t>セルの結合/削除/挿入等の加工不可</t>
    <rPh sb="3" eb="5">
      <t>ケツゴウ</t>
    </rPh>
    <rPh sb="6" eb="8">
      <t>サクジョ</t>
    </rPh>
    <rPh sb="9" eb="11">
      <t>ソウニュウ</t>
    </rPh>
    <rPh sb="11" eb="12">
      <t>トウ</t>
    </rPh>
    <rPh sb="13" eb="15">
      <t>カコウ</t>
    </rPh>
    <rPh sb="15" eb="17">
      <t>フカ</t>
    </rPh>
    <phoneticPr fontId="10"/>
  </si>
  <si>
    <t>シートの順番の変更/追加/削除不可</t>
    <rPh sb="4" eb="6">
      <t>ジュンバン</t>
    </rPh>
    <rPh sb="7" eb="9">
      <t>ヘンコウ</t>
    </rPh>
    <rPh sb="10" eb="12">
      <t>ツイカ</t>
    </rPh>
    <rPh sb="13" eb="15">
      <t>サクジョ</t>
    </rPh>
    <rPh sb="15" eb="17">
      <t>フカ</t>
    </rPh>
    <phoneticPr fontId="10"/>
  </si>
  <si>
    <t>として取り込まれます。</t>
    <rPh sb="3" eb="4">
      <t>ト</t>
    </rPh>
    <rPh sb="5" eb="6">
      <t>コ</t>
    </rPh>
    <phoneticPr fontId="10"/>
  </si>
  <si>
    <t>右上作成日が、システムの見積提出伺の作成日</t>
    <rPh sb="0" eb="2">
      <t>ミギウエ</t>
    </rPh>
    <rPh sb="2" eb="5">
      <t>サクセイビ</t>
    </rPh>
    <rPh sb="12" eb="14">
      <t>ミツモリ</t>
    </rPh>
    <rPh sb="14" eb="16">
      <t>テイシュツ</t>
    </rPh>
    <rPh sb="16" eb="17">
      <t>ウカガ</t>
    </rPh>
    <rPh sb="18" eb="21">
      <t>サクセイビ</t>
    </rPh>
    <phoneticPr fontId="10"/>
  </si>
  <si>
    <t>営業管理システム取込に関する注意事項</t>
    <rPh sb="0" eb="2">
      <t>エイギョウ</t>
    </rPh>
    <rPh sb="2" eb="4">
      <t>カンリ</t>
    </rPh>
    <rPh sb="8" eb="10">
      <t>トリコミ</t>
    </rPh>
    <rPh sb="11" eb="12">
      <t>カン</t>
    </rPh>
    <rPh sb="14" eb="16">
      <t>チュウイ</t>
    </rPh>
    <rPh sb="16" eb="18">
      <t>ジコウ</t>
    </rPh>
    <phoneticPr fontId="10"/>
  </si>
  <si>
    <t>外注企画料</t>
  </si>
  <si>
    <t>社内振替／先行支出　等</t>
    <rPh sb="10" eb="11">
      <t>トウ</t>
    </rPh>
    <phoneticPr fontId="10"/>
  </si>
  <si>
    <t>外注積算料</t>
  </si>
  <si>
    <t>←支払要注意</t>
    <rPh sb="1" eb="3">
      <t>シハライ</t>
    </rPh>
    <rPh sb="3" eb="6">
      <t>ヨウチュウイ</t>
    </rPh>
    <phoneticPr fontId="10"/>
  </si>
  <si>
    <t>外注設計料</t>
  </si>
  <si>
    <t>予算</t>
    <rPh sb="0" eb="2">
      <t>ヨサン</t>
    </rPh>
    <phoneticPr fontId="10"/>
  </si>
  <si>
    <t>その他</t>
  </si>
  <si>
    <t>資材業者名</t>
  </si>
  <si>
    <t>外注業者名</t>
  </si>
  <si>
    <t>工事内容</t>
  </si>
  <si>
    <t>支払い　条件</t>
  </si>
  <si>
    <t>工　事　担　当</t>
  </si>
  <si>
    <t>発　　注　　者</t>
  </si>
  <si>
    <t>積　算　担　当</t>
  </si>
  <si>
    <t>工　　　　　期</t>
  </si>
  <si>
    <t>営　業　担　当</t>
  </si>
  <si>
    <t>特命・競争</t>
    <rPh sb="0" eb="2">
      <t>トクメイ</t>
    </rPh>
    <rPh sb="3" eb="5">
      <t>キョウソウ</t>
    </rPh>
    <phoneticPr fontId="10"/>
  </si>
  <si>
    <t>工　事　価　格</t>
  </si>
  <si>
    <t>工　　事　　名</t>
  </si>
  <si>
    <t>経　費　率</t>
    <rPh sb="0" eb="1">
      <t>ヘ</t>
    </rPh>
    <rPh sb="2" eb="3">
      <t>ヒ</t>
    </rPh>
    <rPh sb="4" eb="5">
      <t>リツ</t>
    </rPh>
    <phoneticPr fontId="10"/>
  </si>
  <si>
    <t>改訂実行予算書（簡易版）</t>
    <rPh sb="0" eb="2">
      <t>カイテイ</t>
    </rPh>
    <rPh sb="2" eb="4">
      <t>ジッコウ</t>
    </rPh>
    <rPh sb="8" eb="10">
      <t>カンイ</t>
    </rPh>
    <rPh sb="10" eb="11">
      <t>バン</t>
    </rPh>
    <phoneticPr fontId="10"/>
  </si>
  <si>
    <t>□</t>
  </si>
  <si>
    <t>部　署　名</t>
    <rPh sb="0" eb="1">
      <t>ブ</t>
    </rPh>
    <rPh sb="2" eb="3">
      <t>ショ</t>
    </rPh>
    <rPh sb="4" eb="5">
      <t>メイ</t>
    </rPh>
    <phoneticPr fontId="10"/>
  </si>
  <si>
    <t>実行予算書（簡易版）</t>
    <rPh sb="6" eb="8">
      <t>カンイ</t>
    </rPh>
    <rPh sb="8" eb="9">
      <t>バン</t>
    </rPh>
    <phoneticPr fontId="10"/>
  </si>
  <si>
    <t>作成日</t>
    <rPh sb="0" eb="2">
      <t>サクセイ</t>
    </rPh>
    <rPh sb="2" eb="3">
      <t>ヒ</t>
    </rPh>
    <phoneticPr fontId="10"/>
  </si>
  <si>
    <t>工期（実施）</t>
    <rPh sb="0" eb="2">
      <t>コウキ</t>
    </rPh>
    <rPh sb="3" eb="5">
      <t>ジッシ</t>
    </rPh>
    <phoneticPr fontId="10"/>
  </si>
  <si>
    <t>工期(見積）</t>
    <rPh sb="0" eb="2">
      <t>コウキ</t>
    </rPh>
    <rPh sb="3" eb="5">
      <t>ミツモリ</t>
    </rPh>
    <phoneticPr fontId="10"/>
  </si>
  <si>
    <t>97% →営業利益3.0%</t>
    <phoneticPr fontId="10"/>
  </si>
  <si>
    <t>98% →営業利益2.0%</t>
    <phoneticPr fontId="10"/>
  </si>
  <si>
    <t>99% →営業利益1.0%</t>
    <phoneticPr fontId="10"/>
  </si>
  <si>
    <t>100% →営業利益0</t>
    <phoneticPr fontId="10"/>
  </si>
  <si>
    <t>103% →粗利益0</t>
    <phoneticPr fontId="10"/>
  </si>
  <si>
    <t>（Ａ＋Ｂ経費②＋Ｃ）</t>
    <phoneticPr fontId="10"/>
  </si>
  <si>
    <t>（Ａ＋Ｂ経費①＋Ｃ）</t>
    <phoneticPr fontId="10"/>
  </si>
  <si>
    <t>実行予算
合　計</t>
    <phoneticPr fontId="10"/>
  </si>
  <si>
    <t>積算担当　支払い条件で記入</t>
    <phoneticPr fontId="10"/>
  </si>
  <si>
    <t>％</t>
    <phoneticPr fontId="10"/>
  </si>
  <si>
    <t>Ⅱ（Ａ＋Ｂ経費②）</t>
    <phoneticPr fontId="10"/>
  </si>
  <si>
    <t>Ⅰ（Ａ＋Ｂ経費①）</t>
    <phoneticPr fontId="10"/>
  </si>
  <si>
    <t>工事
原価</t>
    <phoneticPr fontId="10"/>
  </si>
  <si>
    <t>Ｂ経費関係費合計</t>
    <phoneticPr fontId="10"/>
  </si>
  <si>
    <t>■</t>
    <phoneticPr fontId="10"/>
  </si>
  <si>
    <t>工事保険・賠償責任保険</t>
    <phoneticPr fontId="10"/>
  </si>
  <si>
    <t>　※ 単独有期（工事価格1億8千万円以上）の場合は直接入力</t>
    <rPh sb="3" eb="5">
      <t>タンドク</t>
    </rPh>
    <rPh sb="5" eb="7">
      <t>ユウキ</t>
    </rPh>
    <rPh sb="8" eb="10">
      <t>コウジ</t>
    </rPh>
    <rPh sb="10" eb="12">
      <t>カカク</t>
    </rPh>
    <rPh sb="13" eb="14">
      <t>オク</t>
    </rPh>
    <rPh sb="15" eb="18">
      <t>センマンエン</t>
    </rPh>
    <rPh sb="18" eb="20">
      <t>イジョウ</t>
    </rPh>
    <rPh sb="22" eb="24">
      <t>バアイ</t>
    </rPh>
    <rPh sb="25" eb="27">
      <t>チョクセツ</t>
    </rPh>
    <rPh sb="27" eb="29">
      <t>ニュウリョク</t>
    </rPh>
    <phoneticPr fontId="10"/>
  </si>
  <si>
    <t>労災保険料</t>
    <phoneticPr fontId="10"/>
  </si>
  <si>
    <t>備  考</t>
    <phoneticPr fontId="10"/>
  </si>
  <si>
    <t xml:space="preserve"> ←必要な保険を「●（要）」or「－（否）」選択してください</t>
    <phoneticPr fontId="10"/>
  </si>
  <si>
    <t>Ａ－　　１＋２＋３</t>
    <phoneticPr fontId="10"/>
  </si>
  <si>
    <t>Ａ－２資材費計</t>
    <phoneticPr fontId="10"/>
  </si>
  <si>
    <t>Ａ－１外注取り決め計</t>
    <phoneticPr fontId="10"/>
  </si>
  <si>
    <t>・</t>
    <phoneticPr fontId="10"/>
  </si>
  <si>
    <t>Ａ　直接工事</t>
    <phoneticPr fontId="10"/>
  </si>
  <si>
    <t>請負金（消費税10％含む）</t>
    <phoneticPr fontId="10"/>
  </si>
  <si>
    <t>工　事　No</t>
    <phoneticPr fontId="10"/>
  </si>
  <si>
    <t>QCDS原価算定表</t>
    <phoneticPr fontId="10"/>
  </si>
  <si>
    <t>目安</t>
    <rPh sb="0" eb="2">
      <t>メヤス</t>
    </rPh>
    <phoneticPr fontId="10"/>
  </si>
  <si>
    <t>※経費は工事毎に必ず見直し(手入力)をお願いします</t>
    <rPh sb="1" eb="3">
      <t>ケイヒ</t>
    </rPh>
    <rPh sb="4" eb="6">
      <t>コウジ</t>
    </rPh>
    <rPh sb="6" eb="7">
      <t>マイ</t>
    </rPh>
    <rPh sb="8" eb="9">
      <t>カナラ</t>
    </rPh>
    <rPh sb="10" eb="12">
      <t>ミナオ</t>
    </rPh>
    <rPh sb="14" eb="17">
      <t>テニュウリョク</t>
    </rPh>
    <rPh sb="20" eb="21">
      <t>ネガ</t>
    </rPh>
    <phoneticPr fontId="10"/>
  </si>
  <si>
    <t>←修正しないでください</t>
    <rPh sb="1" eb="3">
      <t>シュウセイ</t>
    </rPh>
    <phoneticPr fontId="10"/>
  </si>
  <si>
    <t>営業利益①</t>
    <rPh sb="0" eb="2">
      <t>エイギョウ</t>
    </rPh>
    <rPh sb="2" eb="4">
      <t>リエキ</t>
    </rPh>
    <phoneticPr fontId="10"/>
  </si>
  <si>
    <t>シニア社員　：　65万円／月</t>
    <rPh sb="3" eb="5">
      <t>シャイン</t>
    </rPh>
    <phoneticPr fontId="11"/>
  </si>
  <si>
    <t>10年目　～　：　85万円／月</t>
    <rPh sb="2" eb="4">
      <t>ネンメ</t>
    </rPh>
    <phoneticPr fontId="11"/>
  </si>
  <si>
    <t>2年目 ～ 9年目　：　60万円／月</t>
    <rPh sb="14" eb="16">
      <t>マンエン</t>
    </rPh>
    <rPh sb="17" eb="18">
      <t>ツキ</t>
    </rPh>
    <phoneticPr fontId="10"/>
  </si>
  <si>
    <t>←不必要に入力しないこと。</t>
    <phoneticPr fontId="10"/>
  </si>
  <si>
    <t>工事価格 * 0.2%</t>
    <phoneticPr fontId="10"/>
  </si>
  <si>
    <t>*工事価格5,000万円未満の工事に適用　　単位:円</t>
    <rPh sb="1" eb="3">
      <t>コウジ</t>
    </rPh>
    <rPh sb="3" eb="5">
      <t>カカク</t>
    </rPh>
    <rPh sb="10" eb="12">
      <t>マンエン</t>
    </rPh>
    <rPh sb="12" eb="14">
      <t>ミマン</t>
    </rPh>
    <rPh sb="15" eb="17">
      <t>コウジ</t>
    </rPh>
    <rPh sb="18" eb="20">
      <t>テキヨウ</t>
    </rPh>
    <phoneticPr fontId="10"/>
  </si>
  <si>
    <t>請負金 *</t>
    <phoneticPr fontId="10"/>
  </si>
  <si>
    <t>特殊保険（設備生産物）</t>
  </si>
  <si>
    <t>特殊保険（解体工事賠責）</t>
  </si>
  <si>
    <t>雑費</t>
    <phoneticPr fontId="10"/>
  </si>
  <si>
    <t>事務用品、通信交通費</t>
    <phoneticPr fontId="10"/>
  </si>
  <si>
    <t>2026/</t>
    <phoneticPr fontId="10"/>
  </si>
  <si>
    <t>工事完了後毎月20日〆翌月10日一括現金払い</t>
    <rPh sb="5" eb="7">
      <t>マイツキ</t>
    </rPh>
    <rPh sb="9" eb="10">
      <t>ニチ</t>
    </rPh>
    <rPh sb="15" eb="16">
      <t>ニチ</t>
    </rPh>
    <phoneticPr fontId="10"/>
  </si>
  <si>
    <t>予備費</t>
    <rPh sb="0" eb="3">
      <t>ヨビヒ</t>
    </rPh>
    <phoneticPr fontId="10"/>
  </si>
  <si>
    <t>社長</t>
    <rPh sb="0" eb="2">
      <t>シャチョウ</t>
    </rPh>
    <phoneticPr fontId="10"/>
  </si>
  <si>
    <t>建築部長</t>
    <rPh sb="0" eb="2">
      <t>ケンチク</t>
    </rPh>
    <rPh sb="2" eb="4">
      <t>ブチョウ</t>
    </rPh>
    <phoneticPr fontId="10"/>
  </si>
  <si>
    <t>経理</t>
    <rPh sb="0" eb="2">
      <t>ケイリ</t>
    </rPh>
    <phoneticPr fontId="10"/>
  </si>
  <si>
    <t>共通経費</t>
    <rPh sb="0" eb="2">
      <t>キョウツウ</t>
    </rPh>
    <rPh sb="2" eb="4">
      <t>ケイヒ</t>
    </rPh>
    <phoneticPr fontId="10"/>
  </si>
  <si>
    <t>一般管理費</t>
    <rPh sb="0" eb="2">
      <t>イッパン</t>
    </rPh>
    <rPh sb="2" eb="5">
      <t>カンリヒ</t>
    </rPh>
    <phoneticPr fontId="10"/>
  </si>
  <si>
    <t>担当者給与</t>
    <rPh sb="0" eb="2">
      <t>タントウ</t>
    </rPh>
    <rPh sb="2" eb="3">
      <t>シャ</t>
    </rPh>
    <rPh sb="3" eb="5">
      <t>キュウヨ</t>
    </rPh>
    <phoneticPr fontId="10"/>
  </si>
  <si>
    <t>経費（共通）</t>
    <rPh sb="0" eb="2">
      <t>ケイヒ</t>
    </rPh>
    <rPh sb="3" eb="5">
      <t>キョウツウ</t>
    </rPh>
    <phoneticPr fontId="10"/>
  </si>
  <si>
    <t>　共通経費</t>
    <rPh sb="1" eb="3">
      <t>キョウツウ</t>
    </rPh>
    <phoneticPr fontId="10"/>
  </si>
  <si>
    <t>予備費</t>
    <phoneticPr fontId="10"/>
  </si>
  <si>
    <t>No</t>
    <phoneticPr fontId="10"/>
  </si>
  <si>
    <t>支払先</t>
    <rPh sb="0" eb="2">
      <t>シハライ</t>
    </rPh>
    <rPh sb="2" eb="3">
      <t>サキ</t>
    </rPh>
    <phoneticPr fontId="10"/>
  </si>
  <si>
    <t>（共通経費・一般管理費）</t>
    <phoneticPr fontId="10"/>
  </si>
  <si>
    <t>2026.02更新</t>
    <rPh sb="7" eb="9">
      <t>コウシン</t>
    </rPh>
    <phoneticPr fontId="10"/>
  </si>
  <si>
    <t>受注伺（案件）兼　工事台帳</t>
    <rPh sb="0" eb="2">
      <t>ジュチュウ</t>
    </rPh>
    <rPh sb="2" eb="3">
      <t>ウカガ</t>
    </rPh>
    <rPh sb="4" eb="6">
      <t>アンケン</t>
    </rPh>
    <rPh sb="7" eb="8">
      <t>ケン</t>
    </rPh>
    <rPh sb="9" eb="11">
      <t>コウジ</t>
    </rPh>
    <rPh sb="11" eb="13">
      <t>ダイチョウ</t>
    </rPh>
    <phoneticPr fontId="10"/>
  </si>
  <si>
    <t>2026年2月1日改訂</t>
    <rPh sb="4" eb="5">
      <t>ネン</t>
    </rPh>
    <rPh sb="6" eb="7">
      <t>ガツ</t>
    </rPh>
    <rPh sb="8" eb="9">
      <t>ニチ</t>
    </rPh>
    <rPh sb="9" eb="11">
      <t>カイテイ</t>
    </rPh>
    <phoneticPr fontId="10"/>
  </si>
  <si>
    <t>部署名</t>
    <rPh sb="0" eb="2">
      <t>ブショ</t>
    </rPh>
    <rPh sb="2" eb="3">
      <t>メイ</t>
    </rPh>
    <phoneticPr fontId="10"/>
  </si>
  <si>
    <t>アル・プラザ　アミ　改修工事</t>
    <rPh sb="10" eb="12">
      <t>カイシュウ</t>
    </rPh>
    <rPh sb="12" eb="14">
      <t>コウジ</t>
    </rPh>
    <phoneticPr fontId="10"/>
  </si>
  <si>
    <t>株式会社　平和堂</t>
    <rPh sb="0" eb="4">
      <t>カブシキガイシャ</t>
    </rPh>
    <rPh sb="5" eb="8">
      <t>ヘイワドウ</t>
    </rPh>
    <phoneticPr fontId="10"/>
  </si>
  <si>
    <t>HIT</t>
    <phoneticPr fontId="10"/>
  </si>
  <si>
    <t>開拓工業</t>
    <rPh sb="0" eb="2">
      <t>カイタク</t>
    </rPh>
    <rPh sb="2" eb="4">
      <t>コウギョウ</t>
    </rPh>
    <phoneticPr fontId="10"/>
  </si>
  <si>
    <t>山春組</t>
    <rPh sb="0" eb="3">
      <t>ヤマハルグミ</t>
    </rPh>
    <phoneticPr fontId="10"/>
  </si>
  <si>
    <t>つくーる</t>
    <phoneticPr fontId="10"/>
  </si>
  <si>
    <t>解体</t>
    <rPh sb="0" eb="2">
      <t>カイタイ</t>
    </rPh>
    <phoneticPr fontId="10"/>
  </si>
  <si>
    <t>仮設</t>
    <rPh sb="0" eb="2">
      <t>カセツ</t>
    </rPh>
    <phoneticPr fontId="10"/>
  </si>
  <si>
    <t>土</t>
    <rPh sb="0" eb="1">
      <t>ツチ</t>
    </rPh>
    <phoneticPr fontId="10"/>
  </si>
  <si>
    <t>内装</t>
    <rPh sb="0" eb="2">
      <t>ナイソウ</t>
    </rPh>
    <phoneticPr fontId="10"/>
  </si>
  <si>
    <t>26-APアミ①</t>
    <phoneticPr fontId="10"/>
  </si>
  <si>
    <t>026-6-001</t>
    <phoneticPr fontId="10"/>
  </si>
  <si>
    <t>-</t>
    <phoneticPr fontId="10"/>
  </si>
  <si>
    <t>001</t>
    <phoneticPr fontId="10"/>
  </si>
  <si>
    <t>　←　西暦</t>
    <rPh sb="3" eb="5">
      <t>セイレキ</t>
    </rPh>
    <phoneticPr fontId="10"/>
  </si>
  <si>
    <t>　←　社員番号</t>
    <rPh sb="3" eb="5">
      <t>シャイン</t>
    </rPh>
    <rPh sb="5" eb="7">
      <t>バンゴウ</t>
    </rPh>
    <phoneticPr fontId="10"/>
  </si>
  <si>
    <t>　←　件数</t>
    <rPh sb="3" eb="5">
      <t>ケンスウ</t>
    </rPh>
    <phoneticPr fontId="10"/>
  </si>
  <si>
    <t>社員番号</t>
    <rPh sb="0" eb="2">
      <t>シャイン</t>
    </rPh>
    <rPh sb="2" eb="4">
      <t>バンゴウ</t>
    </rPh>
    <phoneticPr fontId="10"/>
  </si>
  <si>
    <t>１：社長</t>
    <rPh sb="2" eb="4">
      <t>シャチョウ</t>
    </rPh>
    <phoneticPr fontId="10"/>
  </si>
  <si>
    <t>２：播戸</t>
    <rPh sb="2" eb="4">
      <t>バンド</t>
    </rPh>
    <phoneticPr fontId="10"/>
  </si>
  <si>
    <t>３：中山</t>
    <rPh sb="2" eb="4">
      <t>ナカヤマ</t>
    </rPh>
    <phoneticPr fontId="10"/>
  </si>
  <si>
    <t>４：大塚</t>
    <rPh sb="2" eb="4">
      <t>オオツカ</t>
    </rPh>
    <phoneticPr fontId="10"/>
  </si>
  <si>
    <t>５：北側</t>
    <rPh sb="2" eb="4">
      <t>キタガワ</t>
    </rPh>
    <phoneticPr fontId="10"/>
  </si>
  <si>
    <t>６：佐々木</t>
    <rPh sb="2" eb="5">
      <t>ササキ</t>
    </rPh>
    <phoneticPr fontId="10"/>
  </si>
  <si>
    <t>７：吉崎</t>
    <rPh sb="2" eb="4">
      <t>ヨシザキ</t>
    </rPh>
    <phoneticPr fontId="10"/>
  </si>
  <si>
    <t>８：平等</t>
    <rPh sb="2" eb="4">
      <t>ビョウドウ</t>
    </rPh>
    <phoneticPr fontId="10"/>
  </si>
  <si>
    <t>済</t>
  </si>
  <si>
    <t>〒919-0413　福井県坂井市春江町随応寺16-11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</si>
</sst>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¥&quot;#,##0;[Red]&quot;¥&quot;\-#,##0"/>
    <numFmt numFmtId="176" formatCode="0.0"/>
    <numFmt numFmtId="177" formatCode="0%;\(0%\)"/>
    <numFmt numFmtId="178" formatCode="#,##0_ "/>
    <numFmt numFmtId="179" formatCode="[$-411]ggge&quot;年&quot;mm&quot;月&quot;d&quot;日&quot;"/>
    <numFmt numFmtId="180" formatCode="#,##0;&quot;△ &quot;#,##0"/>
    <numFmt numFmtId="181" formatCode="#,##0.0;&quot;▲ &quot;#,##0.0"/>
    <numFmt numFmtId="182" formatCode="000\-0\-0000\-00"/>
    <numFmt numFmtId="183" formatCode="#,##0;&quot;▲ &quot;#,##0"/>
    <numFmt numFmtId="184" formatCode="[$-F800]dddd\,\ mmmm\ dd\,\ yyyy"/>
    <numFmt numFmtId="185" formatCode="#,##0.0;[Red]\-#,##0.0"/>
    <numFmt numFmtId="186" formatCode="yyyy&quot;年&quot;m&quot;月&quot;d&quot;日&quot;;@"/>
    <numFmt numFmtId="187" formatCode="0.0%"/>
    <numFmt numFmtId="188" formatCode="0.0_ "/>
    <numFmt numFmtId="189" formatCode="0.0000%"/>
    <numFmt numFmtId="190" formatCode="0.00_ "/>
    <numFmt numFmtId="197" formatCode="&quot;¥&quot;#,##0.00;[Red]&quot;¥&quot;&quot;¥&quot;&quot;¥&quot;&quot;¥&quot;&quot;¥&quot;&quot;¥&quot;\-#,##0.00"/>
    <numFmt numFmtId="199" formatCode="_(&quot;$&quot;* #,##0.00_);_(&quot;$&quot;* \(#,##0.00\);_(&quot;$&quot;* &quot;-&quot;??_);_(@_)"/>
  </numFmts>
  <fonts count="6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8"/>
      <name val="ＭＳ Ｐ明朝"/>
      <family val="1"/>
      <charset val="128"/>
    </font>
    <font>
      <b/>
      <sz val="16"/>
      <name val="ＭＳ Ｐ明朝"/>
      <family val="1"/>
      <charset val="128"/>
    </font>
    <font>
      <sz val="12"/>
      <name val="ＭＳ Ｐ明朝"/>
      <family val="1"/>
      <charset val="128"/>
    </font>
    <font>
      <sz val="8"/>
      <name val="ＭＳ Ｐ明朝"/>
      <family val="1"/>
      <charset val="128"/>
    </font>
    <font>
      <b/>
      <sz val="9"/>
      <color indexed="81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000000"/>
      <name val="Arial"/>
      <family val="2"/>
    </font>
    <font>
      <sz val="11"/>
      <name val="明朝"/>
      <family val="1"/>
      <charset val="128"/>
    </font>
    <font>
      <b/>
      <sz val="10"/>
      <name val="ＭＳ Ｐゴシック"/>
      <family val="3"/>
      <charset val="128"/>
    </font>
    <font>
      <b/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b/>
      <sz val="10"/>
      <name val="ＭＳ Ｐ明朝"/>
      <family val="1"/>
      <charset val="128"/>
    </font>
    <font>
      <b/>
      <sz val="10"/>
      <color rgb="FFFF0000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2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8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7"/>
      <name val="ＭＳ Ｐゴシック"/>
      <family val="3"/>
      <charset val="128"/>
    </font>
    <font>
      <sz val="9.5"/>
      <color rgb="FFFF000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1"/>
      <color rgb="FF006100"/>
      <name val="ＭＳ Ｐゴシック"/>
      <family val="3"/>
      <charset val="128"/>
      <scheme val="minor"/>
    </font>
    <font>
      <strike/>
      <sz val="10"/>
      <name val="ＭＳ Ｐゴシック"/>
      <family val="3"/>
      <charset val="128"/>
    </font>
    <font>
      <strike/>
      <sz val="11"/>
      <color theme="0" tint="-0.34998626667073579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trike/>
      <sz val="11"/>
      <color theme="0" tint="-0.3499862666707357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明朝"/>
      <family val="1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</fills>
  <borders count="1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</borders>
  <cellStyleXfs count="36">
    <xf numFmtId="0" fontId="0" fillId="0" borderId="0"/>
    <xf numFmtId="177" fontId="9" fillId="0" borderId="0" applyFill="0" applyBorder="0" applyAlignment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2" fillId="0" borderId="0"/>
    <xf numFmtId="0" fontId="13" fillId="0" borderId="0"/>
    <xf numFmtId="38" fontId="9" fillId="0" borderId="0" applyFont="0" applyFill="0" applyBorder="0" applyAlignment="0" applyProtection="0"/>
    <xf numFmtId="0" fontId="8" fillId="0" borderId="0">
      <alignment vertical="center"/>
    </xf>
    <xf numFmtId="0" fontId="15" fillId="0" borderId="0"/>
    <xf numFmtId="0" fontId="28" fillId="0" borderId="0" applyNumberFormat="0" applyFill="0" applyBorder="0" applyAlignment="0" applyProtection="0"/>
    <xf numFmtId="0" fontId="25" fillId="0" borderId="0">
      <alignment horizontal="center" wrapText="1"/>
    </xf>
    <xf numFmtId="0" fontId="24" fillId="0" borderId="0">
      <alignment horizontal="left" wrapText="1"/>
    </xf>
    <xf numFmtId="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7" fillId="0" borderId="0">
      <alignment vertic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9" fontId="9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1" fillId="19" borderId="0" applyNumberFormat="0" applyBorder="0" applyAlignment="0" applyProtection="0">
      <alignment vertical="center"/>
    </xf>
    <xf numFmtId="0" fontId="9" fillId="0" borderId="0"/>
    <xf numFmtId="6" fontId="9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68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67" fillId="0" borderId="0"/>
  </cellStyleXfs>
  <cellXfs count="835">
    <xf numFmtId="0" fontId="0" fillId="0" borderId="0" xfId="0"/>
    <xf numFmtId="0" fontId="18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178" fontId="8" fillId="0" borderId="0" xfId="7" applyNumberFormat="1">
      <alignment vertical="center"/>
    </xf>
    <xf numFmtId="0" fontId="8" fillId="0" borderId="0" xfId="7">
      <alignment vertical="center"/>
    </xf>
    <xf numFmtId="178" fontId="8" fillId="3" borderId="46" xfId="7" applyNumberFormat="1" applyFill="1" applyBorder="1">
      <alignment vertical="center"/>
    </xf>
    <xf numFmtId="178" fontId="27" fillId="3" borderId="46" xfId="0" applyNumberFormat="1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 readingOrder="1"/>
    </xf>
    <xf numFmtId="0" fontId="3" fillId="0" borderId="0" xfId="7" applyFont="1">
      <alignment vertical="center"/>
    </xf>
    <xf numFmtId="0" fontId="27" fillId="0" borderId="0" xfId="0" applyFont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4" fillId="0" borderId="13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2" borderId="2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38" fontId="14" fillId="2" borderId="0" xfId="6" applyFont="1" applyFill="1" applyBorder="1" applyAlignment="1">
      <alignment vertical="center"/>
    </xf>
    <xf numFmtId="0" fontId="14" fillId="0" borderId="0" xfId="0" applyFont="1" applyAlignment="1">
      <alignment vertical="center" shrinkToFit="1"/>
    </xf>
    <xf numFmtId="0" fontId="14" fillId="0" borderId="14" xfId="0" applyFont="1" applyBorder="1" applyAlignment="1">
      <alignment vertical="center" justifyLastLine="1"/>
    </xf>
    <xf numFmtId="0" fontId="14" fillId="0" borderId="0" xfId="0" applyFont="1" applyAlignment="1">
      <alignment horizontal="center" vertical="center"/>
    </xf>
    <xf numFmtId="0" fontId="14" fillId="0" borderId="18" xfId="0" applyFont="1" applyBorder="1" applyAlignment="1">
      <alignment vertical="center" justifyLastLine="1"/>
    </xf>
    <xf numFmtId="0" fontId="23" fillId="0" borderId="0" xfId="0" applyFont="1" applyAlignment="1">
      <alignment vertical="center"/>
    </xf>
    <xf numFmtId="0" fontId="23" fillId="0" borderId="18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182" fontId="14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38" fontId="23" fillId="0" borderId="0" xfId="0" applyNumberFormat="1" applyFont="1" applyAlignment="1">
      <alignment vertical="center"/>
    </xf>
    <xf numFmtId="0" fontId="14" fillId="11" borderId="13" xfId="0" applyFont="1" applyFill="1" applyBorder="1" applyAlignment="1">
      <alignment vertical="center"/>
    </xf>
    <xf numFmtId="0" fontId="14" fillId="11" borderId="14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33" fillId="0" borderId="0" xfId="0" applyFont="1"/>
    <xf numFmtId="38" fontId="23" fillId="0" borderId="0" xfId="6" applyFont="1" applyBorder="1" applyAlignment="1">
      <alignment vertical="center"/>
    </xf>
    <xf numFmtId="38" fontId="23" fillId="0" borderId="0" xfId="6" applyFont="1" applyFill="1" applyBorder="1" applyAlignment="1">
      <alignment vertical="center"/>
    </xf>
    <xf numFmtId="38" fontId="31" fillId="0" borderId="0" xfId="6" applyFont="1" applyFill="1" applyBorder="1" applyAlignment="1">
      <alignment vertical="top"/>
    </xf>
    <xf numFmtId="0" fontId="14" fillId="11" borderId="21" xfId="0" applyFont="1" applyFill="1" applyBorder="1" applyAlignment="1">
      <alignment vertical="center"/>
    </xf>
    <xf numFmtId="0" fontId="14" fillId="11" borderId="11" xfId="0" applyFont="1" applyFill="1" applyBorder="1" applyAlignment="1">
      <alignment vertical="center"/>
    </xf>
    <xf numFmtId="0" fontId="14" fillId="0" borderId="0" xfId="0" applyFont="1" applyAlignment="1">
      <alignment horizontal="left" vertical="center" wrapText="1" indent="1"/>
    </xf>
    <xf numFmtId="38" fontId="23" fillId="0" borderId="0" xfId="6" applyFont="1" applyBorder="1" applyAlignment="1">
      <alignment horizontal="center" vertical="center"/>
    </xf>
    <xf numFmtId="0" fontId="14" fillId="11" borderId="53" xfId="0" applyFont="1" applyFill="1" applyBorder="1" applyAlignment="1">
      <alignment vertical="center"/>
    </xf>
    <xf numFmtId="0" fontId="14" fillId="11" borderId="15" xfId="0" applyFont="1" applyFill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179" fontId="23" fillId="0" borderId="0" xfId="0" quotePrefix="1" applyNumberFormat="1" applyFont="1" applyAlignment="1">
      <alignment horizontal="center" vertical="center"/>
    </xf>
    <xf numFmtId="0" fontId="14" fillId="11" borderId="12" xfId="0" applyFont="1" applyFill="1" applyBorder="1" applyAlignment="1">
      <alignment vertical="center"/>
    </xf>
    <xf numFmtId="0" fontId="14" fillId="11" borderId="10" xfId="0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38" fontId="23" fillId="0" borderId="0" xfId="6" applyFont="1" applyFill="1" applyBorder="1" applyAlignment="1">
      <alignment horizontal="left"/>
    </xf>
    <xf numFmtId="38" fontId="19" fillId="0" borderId="0" xfId="6" applyFont="1" applyBorder="1" applyAlignment="1">
      <alignment vertical="center"/>
    </xf>
    <xf numFmtId="38" fontId="23" fillId="2" borderId="0" xfId="6" applyFont="1" applyFill="1" applyBorder="1" applyAlignment="1">
      <alignment vertical="center"/>
    </xf>
    <xf numFmtId="176" fontId="23" fillId="0" borderId="0" xfId="0" applyNumberFormat="1" applyFont="1" applyAlignment="1">
      <alignment horizontal="center" vertical="center" shrinkToFit="1"/>
    </xf>
    <xf numFmtId="38" fontId="33" fillId="0" borderId="0" xfId="6" applyFont="1" applyBorder="1" applyAlignment="1"/>
    <xf numFmtId="38" fontId="23" fillId="0" borderId="0" xfId="6" applyFont="1" applyBorder="1" applyAlignment="1"/>
    <xf numFmtId="0" fontId="36" fillId="0" borderId="0" xfId="0" applyFont="1" applyAlignment="1">
      <alignment horizontal="center" vertical="center" textRotation="90"/>
    </xf>
    <xf numFmtId="0" fontId="14" fillId="6" borderId="0" xfId="0" applyFont="1" applyFill="1" applyAlignment="1">
      <alignment vertical="center" shrinkToFit="1"/>
    </xf>
    <xf numFmtId="0" fontId="14" fillId="6" borderId="18" xfId="0" applyFont="1" applyFill="1" applyBorder="1" applyAlignment="1">
      <alignment vertical="center" shrinkToFit="1"/>
    </xf>
    <xf numFmtId="38" fontId="23" fillId="0" borderId="0" xfId="6" applyFont="1" applyFill="1" applyBorder="1" applyAlignment="1">
      <alignment vertical="center" shrinkToFit="1"/>
    </xf>
    <xf numFmtId="0" fontId="14" fillId="6" borderId="3" xfId="0" applyFont="1" applyFill="1" applyBorder="1" applyAlignment="1">
      <alignment vertical="center" shrinkToFit="1"/>
    </xf>
    <xf numFmtId="0" fontId="14" fillId="6" borderId="11" xfId="0" applyFont="1" applyFill="1" applyBorder="1" applyAlignment="1">
      <alignment vertical="center" shrinkToFit="1"/>
    </xf>
    <xf numFmtId="38" fontId="22" fillId="0" borderId="0" xfId="6" applyFont="1" applyFill="1" applyBorder="1" applyAlignment="1">
      <alignment vertical="center" shrinkToFit="1"/>
    </xf>
    <xf numFmtId="176" fontId="22" fillId="0" borderId="0" xfId="0" applyNumberFormat="1" applyFont="1" applyAlignment="1">
      <alignment vertical="center" shrinkToFit="1"/>
    </xf>
    <xf numFmtId="0" fontId="14" fillId="2" borderId="1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38" fontId="37" fillId="0" borderId="18" xfId="6" applyFont="1" applyFill="1" applyBorder="1" applyAlignment="1">
      <alignment vertical="center"/>
    </xf>
    <xf numFmtId="176" fontId="23" fillId="0" borderId="0" xfId="0" applyNumberFormat="1" applyFont="1" applyAlignment="1">
      <alignment vertical="center" shrinkToFit="1"/>
    </xf>
    <xf numFmtId="56" fontId="23" fillId="0" borderId="0" xfId="0" applyNumberFormat="1" applyFont="1" applyAlignment="1">
      <alignment vertical="center" shrinkToFit="1"/>
    </xf>
    <xf numFmtId="38" fontId="33" fillId="0" borderId="0" xfId="6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23" fillId="0" borderId="0" xfId="0" applyFont="1" applyAlignment="1">
      <alignment horizontal="distributed" vertical="center"/>
    </xf>
    <xf numFmtId="56" fontId="23" fillId="0" borderId="0" xfId="0" applyNumberFormat="1" applyFont="1" applyAlignment="1">
      <alignment horizontal="center" vertical="center" justifyLastLine="1" shrinkToFit="1"/>
    </xf>
    <xf numFmtId="0" fontId="14" fillId="10" borderId="0" xfId="0" applyFont="1" applyFill="1" applyAlignment="1">
      <alignment vertical="center"/>
    </xf>
    <xf numFmtId="38" fontId="29" fillId="0" borderId="0" xfId="6" applyFont="1" applyAlignment="1">
      <alignment vertical="center"/>
    </xf>
    <xf numFmtId="38" fontId="38" fillId="0" borderId="0" xfId="6" applyFont="1" applyAlignment="1">
      <alignment vertical="center"/>
    </xf>
    <xf numFmtId="0" fontId="38" fillId="0" borderId="0" xfId="26" applyFont="1" applyAlignment="1">
      <alignment vertical="center"/>
    </xf>
    <xf numFmtId="38" fontId="38" fillId="0" borderId="54" xfId="6" applyFont="1" applyBorder="1" applyAlignment="1">
      <alignment vertical="center"/>
    </xf>
    <xf numFmtId="38" fontId="38" fillId="0" borderId="55" xfId="6" applyFont="1" applyBorder="1" applyAlignment="1">
      <alignment vertical="center"/>
    </xf>
    <xf numFmtId="38" fontId="38" fillId="0" borderId="56" xfId="6" applyFont="1" applyBorder="1" applyAlignment="1">
      <alignment vertical="center"/>
    </xf>
    <xf numFmtId="38" fontId="38" fillId="18" borderId="57" xfId="6" applyFont="1" applyFill="1" applyBorder="1" applyAlignment="1">
      <alignment vertical="center"/>
    </xf>
    <xf numFmtId="38" fontId="39" fillId="0" borderId="55" xfId="6" applyFont="1" applyFill="1" applyBorder="1" applyAlignment="1">
      <alignment vertical="center"/>
    </xf>
    <xf numFmtId="0" fontId="40" fillId="0" borderId="0" xfId="26" applyFont="1" applyAlignment="1">
      <alignment vertical="center"/>
    </xf>
    <xf numFmtId="38" fontId="23" fillId="0" borderId="0" xfId="6" applyFont="1" applyFill="1" applyBorder="1" applyAlignment="1">
      <alignment horizontal="center" vertical="center"/>
    </xf>
    <xf numFmtId="38" fontId="34" fillId="0" borderId="0" xfId="6" applyFont="1" applyBorder="1" applyAlignment="1">
      <alignment vertical="center"/>
    </xf>
    <xf numFmtId="38" fontId="23" fillId="0" borderId="0" xfId="6" applyFont="1" applyFill="1" applyBorder="1" applyAlignment="1">
      <alignment vertical="center" wrapText="1"/>
    </xf>
    <xf numFmtId="0" fontId="34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0" borderId="0" xfId="19">
      <alignment vertical="center"/>
    </xf>
    <xf numFmtId="38" fontId="38" fillId="0" borderId="0" xfId="6" applyFont="1" applyFill="1" applyAlignment="1">
      <alignment vertical="center"/>
    </xf>
    <xf numFmtId="0" fontId="38" fillId="0" borderId="11" xfId="26" applyFont="1" applyBorder="1" applyAlignment="1">
      <alignment vertical="center"/>
    </xf>
    <xf numFmtId="0" fontId="38" fillId="0" borderId="3" xfId="26" applyFont="1" applyBorder="1" applyAlignment="1">
      <alignment vertical="center"/>
    </xf>
    <xf numFmtId="0" fontId="38" fillId="0" borderId="21" xfId="26" applyFont="1" applyBorder="1" applyAlignment="1">
      <alignment vertical="center"/>
    </xf>
    <xf numFmtId="0" fontId="44" fillId="20" borderId="0" xfId="26" applyFont="1" applyFill="1" applyAlignment="1">
      <alignment vertical="center"/>
    </xf>
    <xf numFmtId="0" fontId="38" fillId="20" borderId="0" xfId="26" applyFont="1" applyFill="1" applyAlignment="1">
      <alignment vertical="center"/>
    </xf>
    <xf numFmtId="38" fontId="38" fillId="20" borderId="0" xfId="6" applyFont="1" applyFill="1" applyAlignment="1">
      <alignment vertical="center"/>
    </xf>
    <xf numFmtId="0" fontId="38" fillId="0" borderId="18" xfId="26" applyFont="1" applyBorder="1" applyAlignment="1">
      <alignment vertical="center"/>
    </xf>
    <xf numFmtId="0" fontId="38" fillId="0" borderId="22" xfId="26" applyFont="1" applyBorder="1" applyAlignment="1">
      <alignment vertical="center"/>
    </xf>
    <xf numFmtId="0" fontId="38" fillId="0" borderId="0" xfId="26" applyFont="1" applyAlignment="1">
      <alignment horizontal="left" vertical="center"/>
    </xf>
    <xf numFmtId="0" fontId="38" fillId="0" borderId="14" xfId="26" applyFont="1" applyBorder="1" applyAlignment="1">
      <alignment vertical="center"/>
    </xf>
    <xf numFmtId="0" fontId="38" fillId="0" borderId="23" xfId="26" applyFont="1" applyBorder="1" applyAlignment="1">
      <alignment vertical="center"/>
    </xf>
    <xf numFmtId="0" fontId="38" fillId="0" borderId="13" xfId="26" applyFont="1" applyBorder="1" applyAlignment="1">
      <alignment vertical="center"/>
    </xf>
    <xf numFmtId="187" fontId="38" fillId="20" borderId="0" xfId="26" applyNumberFormat="1" applyFont="1" applyFill="1" applyAlignment="1">
      <alignment horizontal="center" vertical="center"/>
    </xf>
    <xf numFmtId="187" fontId="38" fillId="20" borderId="0" xfId="26" applyNumberFormat="1" applyFont="1" applyFill="1" applyAlignment="1">
      <alignment vertical="center"/>
    </xf>
    <xf numFmtId="0" fontId="38" fillId="18" borderId="10" xfId="26" applyFont="1" applyFill="1" applyBorder="1" applyAlignment="1">
      <alignment vertical="center"/>
    </xf>
    <xf numFmtId="0" fontId="38" fillId="18" borderId="2" xfId="26" applyFont="1" applyFill="1" applyBorder="1" applyAlignment="1">
      <alignment vertical="center"/>
    </xf>
    <xf numFmtId="0" fontId="38" fillId="18" borderId="12" xfId="26" applyFont="1" applyFill="1" applyBorder="1" applyAlignment="1">
      <alignment vertical="center"/>
    </xf>
    <xf numFmtId="0" fontId="38" fillId="21" borderId="10" xfId="26" applyFont="1" applyFill="1" applyBorder="1" applyAlignment="1">
      <alignment vertical="center"/>
    </xf>
    <xf numFmtId="0" fontId="38" fillId="21" borderId="2" xfId="26" applyFont="1" applyFill="1" applyBorder="1" applyAlignment="1">
      <alignment vertical="center"/>
    </xf>
    <xf numFmtId="0" fontId="38" fillId="21" borderId="12" xfId="26" applyFont="1" applyFill="1" applyBorder="1" applyAlignment="1">
      <alignment vertical="center"/>
    </xf>
    <xf numFmtId="38" fontId="38" fillId="0" borderId="0" xfId="6" applyFont="1" applyBorder="1" applyAlignment="1">
      <alignment vertical="center"/>
    </xf>
    <xf numFmtId="188" fontId="45" fillId="21" borderId="58" xfId="0" applyNumberFormat="1" applyFont="1" applyFill="1" applyBorder="1" applyAlignment="1">
      <alignment horizontal="left" vertical="center"/>
    </xf>
    <xf numFmtId="0" fontId="45" fillId="21" borderId="63" xfId="26" applyFont="1" applyFill="1" applyBorder="1" applyAlignment="1">
      <alignment vertical="center"/>
    </xf>
    <xf numFmtId="188" fontId="45" fillId="21" borderId="65" xfId="0" applyNumberFormat="1" applyFont="1" applyFill="1" applyBorder="1" applyAlignment="1">
      <alignment horizontal="left" vertical="center"/>
    </xf>
    <xf numFmtId="0" fontId="45" fillId="21" borderId="70" xfId="26" applyFont="1" applyFill="1" applyBorder="1" applyAlignment="1">
      <alignment vertical="center"/>
    </xf>
    <xf numFmtId="0" fontId="38" fillId="0" borderId="73" xfId="26" applyFont="1" applyBorder="1" applyAlignment="1">
      <alignment vertical="center"/>
    </xf>
    <xf numFmtId="0" fontId="46" fillId="0" borderId="0" xfId="26" applyFont="1" applyAlignment="1">
      <alignment vertical="center"/>
    </xf>
    <xf numFmtId="0" fontId="38" fillId="0" borderId="28" xfId="26" applyFont="1" applyBorder="1" applyAlignment="1">
      <alignment vertical="center"/>
    </xf>
    <xf numFmtId="0" fontId="38" fillId="0" borderId="79" xfId="26" applyFont="1" applyBorder="1" applyAlignment="1">
      <alignment vertical="center"/>
    </xf>
    <xf numFmtId="0" fontId="38" fillId="0" borderId="80" xfId="26" applyFont="1" applyBorder="1" applyAlignment="1">
      <alignment vertical="center"/>
    </xf>
    <xf numFmtId="38" fontId="38" fillId="0" borderId="80" xfId="6" applyFont="1" applyBorder="1" applyAlignment="1">
      <alignment vertical="center"/>
    </xf>
    <xf numFmtId="0" fontId="29" fillId="0" borderId="81" xfId="26" applyFont="1" applyBorder="1" applyAlignment="1">
      <alignment vertical="center"/>
    </xf>
    <xf numFmtId="188" fontId="45" fillId="21" borderId="27" xfId="0" applyNumberFormat="1" applyFont="1" applyFill="1" applyBorder="1" applyAlignment="1">
      <alignment horizontal="left" vertical="center"/>
    </xf>
    <xf numFmtId="0" fontId="45" fillId="21" borderId="27" xfId="26" applyFont="1" applyFill="1" applyBorder="1" applyAlignment="1">
      <alignment horizontal="left" vertical="center"/>
    </xf>
    <xf numFmtId="0" fontId="45" fillId="21" borderId="65" xfId="26" applyFont="1" applyFill="1" applyBorder="1" applyAlignment="1">
      <alignment horizontal="left" vertical="center"/>
    </xf>
    <xf numFmtId="0" fontId="45" fillId="21" borderId="39" xfId="26" applyFont="1" applyFill="1" applyBorder="1" applyAlignment="1">
      <alignment horizontal="left" vertical="center"/>
    </xf>
    <xf numFmtId="0" fontId="38" fillId="0" borderId="1" xfId="26" applyFont="1" applyBorder="1" applyAlignment="1">
      <alignment vertical="center"/>
    </xf>
    <xf numFmtId="0" fontId="29" fillId="0" borderId="36" xfId="26" applyFont="1" applyBorder="1" applyAlignment="1">
      <alignment vertical="center"/>
    </xf>
    <xf numFmtId="0" fontId="38" fillId="0" borderId="36" xfId="26" applyFont="1" applyBorder="1" applyAlignment="1">
      <alignment vertical="center"/>
    </xf>
    <xf numFmtId="0" fontId="38" fillId="22" borderId="86" xfId="26" applyFont="1" applyFill="1" applyBorder="1" applyAlignment="1">
      <alignment vertical="center"/>
    </xf>
    <xf numFmtId="0" fontId="38" fillId="22" borderId="87" xfId="26" applyFont="1" applyFill="1" applyBorder="1" applyAlignment="1">
      <alignment vertical="center"/>
    </xf>
    <xf numFmtId="0" fontId="38" fillId="22" borderId="88" xfId="26" applyFont="1" applyFill="1" applyBorder="1" applyAlignment="1">
      <alignment vertical="center"/>
    </xf>
    <xf numFmtId="0" fontId="47" fillId="22" borderId="89" xfId="26" applyFont="1" applyFill="1" applyBorder="1" applyAlignment="1">
      <alignment vertical="center"/>
    </xf>
    <xf numFmtId="0" fontId="49" fillId="23" borderId="89" xfId="26" applyFont="1" applyFill="1" applyBorder="1" applyAlignment="1">
      <alignment vertical="center"/>
    </xf>
    <xf numFmtId="0" fontId="38" fillId="20" borderId="2" xfId="0" applyFont="1" applyFill="1" applyBorder="1" applyAlignment="1">
      <alignment horizontal="right" vertical="center"/>
    </xf>
    <xf numFmtId="0" fontId="51" fillId="20" borderId="2" xfId="0" applyFont="1" applyFill="1" applyBorder="1" applyAlignment="1">
      <alignment vertical="center" shrinkToFit="1"/>
    </xf>
    <xf numFmtId="38" fontId="52" fillId="20" borderId="2" xfId="6" applyFont="1" applyFill="1" applyBorder="1" applyAlignment="1">
      <alignment vertical="center"/>
    </xf>
    <xf numFmtId="0" fontId="52" fillId="20" borderId="2" xfId="26" applyFont="1" applyFill="1" applyBorder="1" applyAlignment="1">
      <alignment vertical="center"/>
    </xf>
    <xf numFmtId="0" fontId="53" fillId="20" borderId="2" xfId="26" applyFont="1" applyFill="1" applyBorder="1" applyAlignment="1">
      <alignment vertical="center"/>
    </xf>
    <xf numFmtId="0" fontId="45" fillId="20" borderId="93" xfId="26" applyFont="1" applyFill="1" applyBorder="1" applyAlignment="1">
      <alignment horizontal="center" vertical="center" shrinkToFit="1"/>
    </xf>
    <xf numFmtId="0" fontId="38" fillId="20" borderId="2" xfId="26" applyFont="1" applyFill="1" applyBorder="1" applyAlignment="1">
      <alignment horizontal="right" vertical="center"/>
    </xf>
    <xf numFmtId="0" fontId="38" fillId="20" borderId="2" xfId="26" applyFont="1" applyFill="1" applyBorder="1" applyAlignment="1">
      <alignment horizontal="center" vertical="center"/>
    </xf>
    <xf numFmtId="0" fontId="38" fillId="20" borderId="2" xfId="26" applyFont="1" applyFill="1" applyBorder="1" applyAlignment="1">
      <alignment vertical="center"/>
    </xf>
    <xf numFmtId="0" fontId="38" fillId="0" borderId="75" xfId="26" applyFont="1" applyBorder="1" applyAlignment="1">
      <alignment vertical="center"/>
    </xf>
    <xf numFmtId="0" fontId="45" fillId="0" borderId="28" xfId="26" applyFont="1" applyBorder="1" applyAlignment="1">
      <alignment vertical="center" shrinkToFit="1"/>
    </xf>
    <xf numFmtId="0" fontId="55" fillId="0" borderId="0" xfId="26" applyFont="1" applyAlignment="1">
      <alignment horizontal="right" vertical="center"/>
    </xf>
    <xf numFmtId="0" fontId="38" fillId="21" borderId="39" xfId="26" applyFont="1" applyFill="1" applyBorder="1" applyAlignment="1">
      <alignment vertical="center"/>
    </xf>
    <xf numFmtId="0" fontId="38" fillId="21" borderId="1" xfId="26" applyFont="1" applyFill="1" applyBorder="1" applyAlignment="1">
      <alignment horizontal="centerContinuous" vertical="center"/>
    </xf>
    <xf numFmtId="176" fontId="29" fillId="21" borderId="1" xfId="26" applyNumberFormat="1" applyFont="1" applyFill="1" applyBorder="1" applyAlignment="1">
      <alignment horizontal="centerContinuous" vertical="center"/>
    </xf>
    <xf numFmtId="0" fontId="38" fillId="21" borderId="36" xfId="26" applyFont="1" applyFill="1" applyBorder="1" applyAlignment="1">
      <alignment vertical="center"/>
    </xf>
    <xf numFmtId="0" fontId="38" fillId="0" borderId="5" xfId="26" applyFont="1" applyBorder="1" applyAlignment="1">
      <alignment vertical="center"/>
    </xf>
    <xf numFmtId="38" fontId="38" fillId="0" borderId="5" xfId="6" applyFont="1" applyBorder="1" applyAlignment="1">
      <alignment vertical="center"/>
    </xf>
    <xf numFmtId="0" fontId="38" fillId="0" borderId="8" xfId="26" applyFont="1" applyBorder="1" applyAlignment="1">
      <alignment vertical="center"/>
    </xf>
    <xf numFmtId="0" fontId="41" fillId="17" borderId="0" xfId="27" applyFill="1" applyBorder="1" applyAlignment="1">
      <alignment vertical="center"/>
    </xf>
    <xf numFmtId="0" fontId="38" fillId="0" borderId="93" xfId="26" applyFont="1" applyBorder="1" applyAlignment="1">
      <alignment vertical="center"/>
    </xf>
    <xf numFmtId="0" fontId="41" fillId="17" borderId="0" xfId="27" applyFill="1" applyBorder="1" applyAlignment="1">
      <alignment horizontal="right" vertical="center"/>
    </xf>
    <xf numFmtId="0" fontId="38" fillId="0" borderId="98" xfId="26" applyFont="1" applyBorder="1" applyAlignment="1">
      <alignment vertical="center"/>
    </xf>
    <xf numFmtId="0" fontId="58" fillId="17" borderId="0" xfId="27" applyFont="1" applyFill="1" applyBorder="1" applyAlignment="1">
      <alignment vertical="center"/>
    </xf>
    <xf numFmtId="0" fontId="29" fillId="0" borderId="0" xfId="26" applyFont="1" applyAlignment="1">
      <alignment vertical="center"/>
    </xf>
    <xf numFmtId="0" fontId="38" fillId="0" borderId="99" xfId="26" applyFont="1" applyBorder="1" applyAlignment="1">
      <alignment vertical="center"/>
    </xf>
    <xf numFmtId="0" fontId="29" fillId="0" borderId="80" xfId="26" applyFont="1" applyBorder="1" applyAlignment="1">
      <alignment vertical="center"/>
    </xf>
    <xf numFmtId="0" fontId="38" fillId="0" borderId="64" xfId="26" applyFont="1" applyBorder="1" applyAlignment="1">
      <alignment vertical="center"/>
    </xf>
    <xf numFmtId="0" fontId="38" fillId="0" borderId="84" xfId="26" applyFont="1" applyBorder="1" applyAlignment="1">
      <alignment vertical="center"/>
    </xf>
    <xf numFmtId="0" fontId="44" fillId="0" borderId="0" xfId="26" applyFont="1" applyAlignment="1">
      <alignment horizontal="right" vertical="center"/>
    </xf>
    <xf numFmtId="38" fontId="48" fillId="0" borderId="0" xfId="6" applyFont="1" applyAlignment="1">
      <alignment vertical="center"/>
    </xf>
    <xf numFmtId="0" fontId="48" fillId="0" borderId="0" xfId="26" applyFont="1" applyAlignment="1">
      <alignment vertical="center"/>
    </xf>
    <xf numFmtId="0" fontId="45" fillId="0" borderId="0" xfId="26" applyFont="1" applyAlignment="1">
      <alignment horizontal="right" vertical="center"/>
    </xf>
    <xf numFmtId="0" fontId="38" fillId="0" borderId="0" xfId="26" applyFont="1" applyAlignment="1">
      <alignment horizontal="right" vertical="center"/>
    </xf>
    <xf numFmtId="0" fontId="59" fillId="0" borderId="0" xfId="26" applyFont="1" applyAlignment="1">
      <alignment vertical="center"/>
    </xf>
    <xf numFmtId="0" fontId="60" fillId="0" borderId="0" xfId="26" applyFont="1" applyAlignment="1">
      <alignment vertical="center"/>
    </xf>
    <xf numFmtId="0" fontId="61" fillId="0" borderId="0" xfId="26" applyFont="1" applyAlignment="1">
      <alignment vertical="center"/>
    </xf>
    <xf numFmtId="0" fontId="62" fillId="0" borderId="0" xfId="26" applyFont="1" applyAlignment="1">
      <alignment vertical="center"/>
    </xf>
    <xf numFmtId="0" fontId="23" fillId="0" borderId="0" xfId="0" applyFont="1" applyAlignment="1">
      <alignment horizontal="center" vertical="center" shrinkToFit="1"/>
    </xf>
    <xf numFmtId="176" fontId="23" fillId="0" borderId="0" xfId="0" applyNumberFormat="1" applyFont="1" applyAlignment="1">
      <alignment horizontal="right" vertical="center" shrinkToFit="1"/>
    </xf>
    <xf numFmtId="0" fontId="41" fillId="17" borderId="101" xfId="27" applyFill="1" applyBorder="1" applyAlignment="1">
      <alignment vertical="center"/>
    </xf>
    <xf numFmtId="0" fontId="41" fillId="17" borderId="102" xfId="27" applyFill="1" applyBorder="1" applyAlignment="1">
      <alignment vertical="center"/>
    </xf>
    <xf numFmtId="0" fontId="41" fillId="17" borderId="103" xfId="27" applyFill="1" applyBorder="1" applyAlignment="1">
      <alignment vertical="center"/>
    </xf>
    <xf numFmtId="0" fontId="41" fillId="17" borderId="104" xfId="27" applyFill="1" applyBorder="1" applyAlignment="1">
      <alignment vertical="center"/>
    </xf>
    <xf numFmtId="0" fontId="41" fillId="17" borderId="105" xfId="27" applyFill="1" applyBorder="1" applyAlignment="1">
      <alignment vertical="center"/>
    </xf>
    <xf numFmtId="0" fontId="41" fillId="17" borderId="106" xfId="27" applyFill="1" applyBorder="1" applyAlignment="1">
      <alignment vertical="center"/>
    </xf>
    <xf numFmtId="0" fontId="41" fillId="17" borderId="107" xfId="27" applyFill="1" applyBorder="1" applyAlignment="1">
      <alignment vertical="center"/>
    </xf>
    <xf numFmtId="0" fontId="41" fillId="17" borderId="108" xfId="27" applyFill="1" applyBorder="1" applyAlignment="1">
      <alignment vertical="center"/>
    </xf>
    <xf numFmtId="184" fontId="14" fillId="0" borderId="0" xfId="0" applyNumberFormat="1" applyFont="1" applyAlignment="1">
      <alignment vertical="center"/>
    </xf>
    <xf numFmtId="0" fontId="14" fillId="11" borderId="18" xfId="0" applyFont="1" applyFill="1" applyBorder="1" applyAlignment="1">
      <alignment vertical="center"/>
    </xf>
    <xf numFmtId="38" fontId="37" fillId="0" borderId="3" xfId="6" applyFont="1" applyFill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38" fillId="26" borderId="9" xfId="26" applyFont="1" applyFill="1" applyBorder="1" applyAlignment="1">
      <alignment horizontal="center" vertical="center"/>
    </xf>
    <xf numFmtId="0" fontId="9" fillId="0" borderId="0" xfId="26" applyAlignment="1">
      <alignment vertical="center"/>
    </xf>
    <xf numFmtId="0" fontId="38" fillId="0" borderId="12" xfId="26" applyFont="1" applyBorder="1" applyAlignment="1">
      <alignment horizontal="centerContinuous" vertical="center"/>
    </xf>
    <xf numFmtId="0" fontId="38" fillId="0" borderId="2" xfId="26" applyFont="1" applyBorder="1" applyAlignment="1">
      <alignment horizontal="centerContinuous" vertical="center"/>
    </xf>
    <xf numFmtId="0" fontId="38" fillId="0" borderId="2" xfId="26" applyFont="1" applyBorder="1" applyAlignment="1">
      <alignment horizontal="center" vertical="center"/>
    </xf>
    <xf numFmtId="0" fontId="38" fillId="0" borderId="10" xfId="26" applyFont="1" applyBorder="1" applyAlignment="1">
      <alignment horizontal="centerContinuous" vertical="center"/>
    </xf>
    <xf numFmtId="0" fontId="38" fillId="13" borderId="9" xfId="26" applyFont="1" applyFill="1" applyBorder="1" applyAlignment="1">
      <alignment horizontal="center" vertical="center"/>
    </xf>
    <xf numFmtId="0" fontId="43" fillId="0" borderId="0" xfId="26" applyFont="1" applyAlignment="1">
      <alignment vertical="center"/>
    </xf>
    <xf numFmtId="0" fontId="38" fillId="0" borderId="92" xfId="26" applyFont="1" applyBorder="1" applyAlignment="1">
      <alignment vertical="center"/>
    </xf>
    <xf numFmtId="0" fontId="29" fillId="0" borderId="23" xfId="26" applyFont="1" applyBorder="1" applyAlignment="1">
      <alignment vertical="center"/>
    </xf>
    <xf numFmtId="176" fontId="29" fillId="0" borderId="0" xfId="26" applyNumberFormat="1" applyFont="1" applyAlignment="1">
      <alignment horizontal="centerContinuous" vertical="center"/>
    </xf>
    <xf numFmtId="0" fontId="38" fillId="0" borderId="0" xfId="26" applyFont="1" applyAlignment="1">
      <alignment horizontal="centerContinuous" vertical="center"/>
    </xf>
    <xf numFmtId="38" fontId="29" fillId="0" borderId="0" xfId="26" applyNumberFormat="1" applyFont="1" applyAlignment="1">
      <alignment horizontal="right" vertical="center"/>
    </xf>
    <xf numFmtId="0" fontId="45" fillId="0" borderId="13" xfId="26" applyFont="1" applyBorder="1" applyAlignment="1">
      <alignment horizontal="left" vertical="center"/>
    </xf>
    <xf numFmtId="0" fontId="45" fillId="0" borderId="23" xfId="26" applyFont="1" applyBorder="1" applyAlignment="1">
      <alignment horizontal="left" vertical="center"/>
    </xf>
    <xf numFmtId="0" fontId="45" fillId="0" borderId="14" xfId="26" applyFont="1" applyBorder="1" applyAlignment="1">
      <alignment horizontal="left" vertical="center"/>
    </xf>
    <xf numFmtId="38" fontId="29" fillId="20" borderId="0" xfId="26" applyNumberFormat="1" applyFont="1" applyFill="1" applyAlignment="1">
      <alignment vertical="center"/>
    </xf>
    <xf numFmtId="0" fontId="38" fillId="0" borderId="0" xfId="26" applyFont="1" applyAlignment="1">
      <alignment horizontal="center" vertical="center"/>
    </xf>
    <xf numFmtId="38" fontId="29" fillId="0" borderId="0" xfId="26" applyNumberFormat="1" applyFont="1" applyAlignment="1">
      <alignment vertical="center"/>
    </xf>
    <xf numFmtId="0" fontId="44" fillId="0" borderId="0" xfId="26" applyFont="1" applyAlignment="1">
      <alignment vertical="center"/>
    </xf>
    <xf numFmtId="0" fontId="38" fillId="0" borderId="53" xfId="26" applyFont="1" applyBorder="1" applyAlignment="1">
      <alignment vertical="center"/>
    </xf>
    <xf numFmtId="0" fontId="38" fillId="0" borderId="33" xfId="26" applyFont="1" applyBorder="1" applyAlignment="1">
      <alignment vertical="center"/>
    </xf>
    <xf numFmtId="0" fontId="38" fillId="0" borderId="15" xfId="26" applyFont="1" applyBorder="1" applyAlignment="1">
      <alignment vertical="center"/>
    </xf>
    <xf numFmtId="0" fontId="42" fillId="0" borderId="0" xfId="26" applyFont="1" applyAlignment="1">
      <alignment vertical="center"/>
    </xf>
    <xf numFmtId="0" fontId="38" fillId="20" borderId="0" xfId="26" applyFont="1" applyFill="1" applyAlignment="1">
      <alignment horizontal="center" vertical="center"/>
    </xf>
    <xf numFmtId="0" fontId="38" fillId="0" borderId="70" xfId="26" applyFont="1" applyBorder="1" applyAlignment="1">
      <alignment vertical="center"/>
    </xf>
    <xf numFmtId="0" fontId="38" fillId="0" borderId="68" xfId="26" applyFont="1" applyBorder="1" applyAlignment="1">
      <alignment vertical="center"/>
    </xf>
    <xf numFmtId="0" fontId="38" fillId="0" borderId="12" xfId="26" applyFont="1" applyBorder="1" applyAlignment="1">
      <alignment vertical="center"/>
    </xf>
    <xf numFmtId="0" fontId="38" fillId="0" borderId="2" xfId="26" applyFont="1" applyBorder="1" applyAlignment="1">
      <alignment vertical="center"/>
    </xf>
    <xf numFmtId="0" fontId="38" fillId="0" borderId="10" xfId="26" applyFont="1" applyBorder="1" applyAlignment="1">
      <alignment vertical="center"/>
    </xf>
    <xf numFmtId="0" fontId="38" fillId="21" borderId="5" xfId="26" applyFont="1" applyFill="1" applyBorder="1" applyAlignment="1">
      <alignment vertical="center"/>
    </xf>
    <xf numFmtId="0" fontId="38" fillId="21" borderId="70" xfId="26" applyFont="1" applyFill="1" applyBorder="1" applyAlignment="1">
      <alignment vertical="center"/>
    </xf>
    <xf numFmtId="0" fontId="38" fillId="21" borderId="1" xfId="26" applyFont="1" applyFill="1" applyBorder="1" applyAlignment="1">
      <alignment vertical="center"/>
    </xf>
    <xf numFmtId="0" fontId="38" fillId="0" borderId="38" xfId="26" applyFont="1" applyBorder="1" applyAlignment="1">
      <alignment vertical="center"/>
    </xf>
    <xf numFmtId="0" fontId="38" fillId="0" borderId="30" xfId="26" applyFont="1" applyBorder="1" applyAlignment="1">
      <alignment vertical="center"/>
    </xf>
    <xf numFmtId="0" fontId="38" fillId="0" borderId="31" xfId="26" applyFont="1" applyBorder="1" applyAlignment="1">
      <alignment vertical="center"/>
    </xf>
    <xf numFmtId="0" fontId="29" fillId="0" borderId="109" xfId="26" applyFont="1" applyBorder="1" applyAlignment="1">
      <alignment vertical="center"/>
    </xf>
    <xf numFmtId="0" fontId="29" fillId="0" borderId="110" xfId="26" applyFont="1" applyBorder="1" applyAlignment="1">
      <alignment vertical="center"/>
    </xf>
    <xf numFmtId="0" fontId="38" fillId="0" borderId="110" xfId="26" applyFont="1" applyBorder="1" applyAlignment="1">
      <alignment vertical="center"/>
    </xf>
    <xf numFmtId="0" fontId="38" fillId="0" borderId="111" xfId="26" applyFont="1" applyBorder="1" applyAlignment="1">
      <alignment vertical="center"/>
    </xf>
    <xf numFmtId="0" fontId="29" fillId="0" borderId="112" xfId="26" applyFont="1" applyBorder="1" applyAlignment="1">
      <alignment vertical="center"/>
    </xf>
    <xf numFmtId="0" fontId="38" fillId="0" borderId="113" xfId="26" applyFont="1" applyBorder="1" applyAlignment="1">
      <alignment vertical="center"/>
    </xf>
    <xf numFmtId="0" fontId="38" fillId="0" borderId="112" xfId="26" applyFont="1" applyBorder="1" applyAlignment="1">
      <alignment vertical="center"/>
    </xf>
    <xf numFmtId="0" fontId="56" fillId="0" borderId="0" xfId="26" applyFont="1" applyAlignment="1">
      <alignment vertical="center"/>
    </xf>
    <xf numFmtId="0" fontId="38" fillId="0" borderId="114" xfId="26" applyFont="1" applyBorder="1" applyAlignment="1">
      <alignment vertical="center"/>
    </xf>
    <xf numFmtId="0" fontId="38" fillId="0" borderId="115" xfId="26" applyFont="1" applyBorder="1" applyAlignment="1">
      <alignment vertical="center"/>
    </xf>
    <xf numFmtId="0" fontId="43" fillId="0" borderId="115" xfId="26" applyFont="1" applyBorder="1" applyAlignment="1">
      <alignment vertical="center"/>
    </xf>
    <xf numFmtId="0" fontId="43" fillId="0" borderId="116" xfId="26" applyFont="1" applyBorder="1" applyAlignment="1">
      <alignment vertical="center"/>
    </xf>
    <xf numFmtId="0" fontId="38" fillId="0" borderId="71" xfId="26" applyFont="1" applyBorder="1" applyAlignment="1">
      <alignment vertical="center"/>
    </xf>
    <xf numFmtId="0" fontId="38" fillId="0" borderId="6" xfId="26" applyFont="1" applyBorder="1" applyAlignment="1">
      <alignment vertical="center"/>
    </xf>
    <xf numFmtId="0" fontId="38" fillId="0" borderId="7" xfId="26" applyFont="1" applyBorder="1" applyAlignment="1">
      <alignment vertical="center"/>
    </xf>
    <xf numFmtId="0" fontId="66" fillId="0" borderId="0" xfId="26" applyFont="1" applyAlignment="1">
      <alignment horizontal="center" vertical="center"/>
    </xf>
    <xf numFmtId="0" fontId="35" fillId="6" borderId="16" xfId="0" applyFont="1" applyFill="1" applyBorder="1" applyAlignment="1">
      <alignment vertical="center"/>
    </xf>
    <xf numFmtId="0" fontId="35" fillId="6" borderId="29" xfId="0" applyFont="1" applyFill="1" applyBorder="1" applyAlignment="1">
      <alignment vertical="center"/>
    </xf>
    <xf numFmtId="0" fontId="35" fillId="6" borderId="17" xfId="0" applyFont="1" applyFill="1" applyBorder="1" applyAlignment="1">
      <alignment vertical="center"/>
    </xf>
    <xf numFmtId="38" fontId="23" fillId="8" borderId="12" xfId="6" applyFont="1" applyFill="1" applyBorder="1" applyAlignment="1">
      <alignment horizontal="center" vertical="center" shrinkToFit="1"/>
    </xf>
    <xf numFmtId="38" fontId="38" fillId="0" borderId="12" xfId="6" applyFont="1" applyFill="1" applyBorder="1" applyAlignment="1">
      <alignment horizontal="right" vertical="center"/>
    </xf>
    <xf numFmtId="38" fontId="38" fillId="0" borderId="2" xfId="6" applyFont="1" applyFill="1" applyBorder="1" applyAlignment="1">
      <alignment horizontal="right" vertical="center"/>
    </xf>
    <xf numFmtId="38" fontId="38" fillId="0" borderId="96" xfId="6" applyFont="1" applyFill="1" applyBorder="1" applyAlignment="1">
      <alignment horizontal="right" vertical="center"/>
    </xf>
    <xf numFmtId="0" fontId="38" fillId="0" borderId="97" xfId="26" applyFont="1" applyBorder="1" applyAlignment="1">
      <alignment vertical="center"/>
    </xf>
    <xf numFmtId="38" fontId="38" fillId="0" borderId="74" xfId="6" applyFont="1" applyFill="1" applyBorder="1" applyAlignment="1">
      <alignment horizontal="right" vertical="center"/>
    </xf>
    <xf numFmtId="0" fontId="38" fillId="0" borderId="2" xfId="26" applyFont="1" applyBorder="1" applyAlignment="1">
      <alignment horizontal="right" vertical="center"/>
    </xf>
    <xf numFmtId="0" fontId="38" fillId="0" borderId="10" xfId="26" applyFont="1" applyBorder="1" applyAlignment="1">
      <alignment horizontal="right" vertical="center"/>
    </xf>
    <xf numFmtId="38" fontId="29" fillId="0" borderId="0" xfId="6" applyFont="1" applyFill="1" applyBorder="1" applyAlignment="1">
      <alignment vertical="center"/>
    </xf>
    <xf numFmtId="38" fontId="38" fillId="0" borderId="0" xfId="6" applyFont="1" applyFill="1" applyBorder="1" applyAlignment="1">
      <alignment vertical="center"/>
    </xf>
    <xf numFmtId="38" fontId="23" fillId="13" borderId="12" xfId="6" applyFont="1" applyFill="1" applyBorder="1" applyAlignment="1">
      <alignment vertical="center" shrinkToFit="1"/>
    </xf>
    <xf numFmtId="183" fontId="23" fillId="0" borderId="0" xfId="6" applyNumberFormat="1" applyFont="1" applyFill="1" applyBorder="1" applyAlignment="1">
      <alignment vertical="center" shrinkToFit="1"/>
    </xf>
    <xf numFmtId="180" fontId="23" fillId="0" borderId="0" xfId="6" applyNumberFormat="1" applyFont="1" applyFill="1" applyBorder="1" applyAlignment="1">
      <alignment vertical="center" shrinkToFit="1"/>
    </xf>
    <xf numFmtId="38" fontId="23" fillId="0" borderId="0" xfId="6" applyFont="1" applyFill="1" applyBorder="1" applyAlignment="1">
      <alignment vertical="center" wrapText="1" shrinkToFit="1"/>
    </xf>
    <xf numFmtId="38" fontId="38" fillId="0" borderId="12" xfId="26" applyNumberFormat="1" applyFont="1" applyBorder="1" applyAlignment="1">
      <alignment horizontal="right" vertical="center"/>
    </xf>
    <xf numFmtId="180" fontId="23" fillId="6" borderId="45" xfId="0" applyNumberFormat="1" applyFont="1" applyFill="1" applyBorder="1" applyAlignment="1">
      <alignment horizontal="right" vertical="center" shrinkToFit="1"/>
    </xf>
    <xf numFmtId="180" fontId="23" fillId="9" borderId="45" xfId="0" applyNumberFormat="1" applyFont="1" applyFill="1" applyBorder="1" applyAlignment="1">
      <alignment horizontal="right" vertical="center" shrinkToFit="1"/>
    </xf>
    <xf numFmtId="180" fontId="23" fillId="9" borderId="51" xfId="0" applyNumberFormat="1" applyFont="1" applyFill="1" applyBorder="1" applyAlignment="1">
      <alignment horizontal="righ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top" textRotation="255"/>
    </xf>
    <xf numFmtId="180" fontId="23" fillId="6" borderId="35" xfId="6" applyNumberFormat="1" applyFont="1" applyFill="1" applyBorder="1" applyAlignment="1">
      <alignment vertical="center" shrinkToFit="1"/>
    </xf>
    <xf numFmtId="180" fontId="23" fillId="6" borderId="24" xfId="6" applyNumberFormat="1" applyFont="1" applyFill="1" applyBorder="1" applyAlignment="1">
      <alignment vertical="center" shrinkToFit="1"/>
    </xf>
    <xf numFmtId="180" fontId="23" fillId="6" borderId="25" xfId="6" applyNumberFormat="1" applyFont="1" applyFill="1" applyBorder="1" applyAlignment="1">
      <alignment vertical="center" shrinkToFit="1"/>
    </xf>
    <xf numFmtId="180" fontId="23" fillId="9" borderId="35" xfId="6" applyNumberFormat="1" applyFont="1" applyFill="1" applyBorder="1" applyAlignment="1">
      <alignment vertical="center" shrinkToFit="1"/>
    </xf>
    <xf numFmtId="180" fontId="23" fillId="9" borderId="24" xfId="6" applyNumberFormat="1" applyFont="1" applyFill="1" applyBorder="1" applyAlignment="1">
      <alignment vertical="center" shrinkToFit="1"/>
    </xf>
    <xf numFmtId="180" fontId="23" fillId="9" borderId="25" xfId="6" applyNumberFormat="1" applyFont="1" applyFill="1" applyBorder="1" applyAlignment="1">
      <alignment vertical="center" shrinkToFit="1"/>
    </xf>
    <xf numFmtId="38" fontId="23" fillId="15" borderId="2" xfId="6" applyFont="1" applyFill="1" applyBorder="1" applyAlignment="1">
      <alignment horizontal="center" vertical="center" shrinkToFit="1"/>
    </xf>
    <xf numFmtId="38" fontId="23" fillId="15" borderId="10" xfId="6" applyFont="1" applyFill="1" applyBorder="1" applyAlignment="1">
      <alignment horizontal="center" vertical="center" shrinkToFit="1"/>
    </xf>
    <xf numFmtId="38" fontId="23" fillId="16" borderId="12" xfId="6" applyFont="1" applyFill="1" applyBorder="1" applyAlignment="1">
      <alignment horizontal="center" vertical="center" shrinkToFit="1"/>
    </xf>
    <xf numFmtId="38" fontId="23" fillId="16" borderId="2" xfId="6" applyFont="1" applyFill="1" applyBorder="1" applyAlignment="1">
      <alignment horizontal="center" vertical="center" shrinkToFit="1"/>
    </xf>
    <xf numFmtId="38" fontId="23" fillId="16" borderId="10" xfId="6" applyFont="1" applyFill="1" applyBorder="1" applyAlignment="1">
      <alignment horizontal="center" vertical="center" shrinkToFit="1"/>
    </xf>
    <xf numFmtId="38" fontId="23" fillId="15" borderId="12" xfId="6" applyFont="1" applyFill="1" applyBorder="1" applyAlignment="1">
      <alignment horizontal="center" vertical="center" shrinkToFit="1"/>
    </xf>
    <xf numFmtId="180" fontId="23" fillId="6" borderId="50" xfId="0" applyNumberFormat="1" applyFont="1" applyFill="1" applyBorder="1" applyAlignment="1">
      <alignment horizontal="right" vertical="center" shrinkToFit="1"/>
    </xf>
    <xf numFmtId="38" fontId="23" fillId="13" borderId="52" xfId="6" applyFont="1" applyFill="1" applyBorder="1" applyAlignment="1">
      <alignment horizontal="center" vertical="center" shrinkToFit="1"/>
    </xf>
    <xf numFmtId="38" fontId="23" fillId="13" borderId="2" xfId="6" applyFont="1" applyFill="1" applyBorder="1" applyAlignment="1">
      <alignment horizontal="center" vertical="center" shrinkToFit="1"/>
    </xf>
    <xf numFmtId="38" fontId="23" fillId="13" borderId="10" xfId="6" applyFont="1" applyFill="1" applyBorder="1" applyAlignment="1">
      <alignment horizontal="center" vertical="center" shrinkToFit="1"/>
    </xf>
    <xf numFmtId="180" fontId="23" fillId="7" borderId="35" xfId="6" applyNumberFormat="1" applyFont="1" applyFill="1" applyBorder="1" applyAlignment="1">
      <alignment vertical="center" shrinkToFit="1"/>
    </xf>
    <xf numFmtId="180" fontId="23" fillId="7" borderId="24" xfId="6" applyNumberFormat="1" applyFont="1" applyFill="1" applyBorder="1" applyAlignment="1">
      <alignment vertical="center" shrinkToFit="1"/>
    </xf>
    <xf numFmtId="180" fontId="23" fillId="7" borderId="25" xfId="6" applyNumberFormat="1" applyFont="1" applyFill="1" applyBorder="1" applyAlignment="1">
      <alignment vertical="center" shrinkToFit="1"/>
    </xf>
    <xf numFmtId="180" fontId="22" fillId="7" borderId="35" xfId="6" applyNumberFormat="1" applyFont="1" applyFill="1" applyBorder="1" applyAlignment="1">
      <alignment horizontal="center" vertical="center" shrinkToFit="1"/>
    </xf>
    <xf numFmtId="180" fontId="22" fillId="7" borderId="25" xfId="6" applyNumberFormat="1" applyFont="1" applyFill="1" applyBorder="1" applyAlignment="1">
      <alignment horizontal="center" vertical="center" shrinkToFit="1"/>
    </xf>
    <xf numFmtId="38" fontId="45" fillId="8" borderId="52" xfId="6" applyFont="1" applyFill="1" applyBorder="1" applyAlignment="1">
      <alignment horizontal="center" vertical="center" wrapText="1"/>
    </xf>
    <xf numFmtId="38" fontId="45" fillId="8" borderId="2" xfId="6" applyFont="1" applyFill="1" applyBorder="1" applyAlignment="1">
      <alignment horizontal="center" vertical="center" wrapText="1"/>
    </xf>
    <xf numFmtId="38" fontId="45" fillId="8" borderId="10" xfId="6" applyFont="1" applyFill="1" applyBorder="1" applyAlignment="1">
      <alignment horizontal="center" vertical="center" wrapText="1"/>
    </xf>
    <xf numFmtId="38" fontId="38" fillId="8" borderId="52" xfId="6" applyFont="1" applyFill="1" applyBorder="1" applyAlignment="1">
      <alignment horizontal="center" vertical="center" wrapText="1"/>
    </xf>
    <xf numFmtId="38" fontId="38" fillId="8" borderId="2" xfId="6" applyFont="1" applyFill="1" applyBorder="1" applyAlignment="1">
      <alignment horizontal="center" vertical="center" wrapText="1"/>
    </xf>
    <xf numFmtId="38" fontId="38" fillId="8" borderId="10" xfId="6" applyFont="1" applyFill="1" applyBorder="1" applyAlignment="1">
      <alignment horizontal="center" vertical="center" wrapText="1"/>
    </xf>
    <xf numFmtId="183" fontId="23" fillId="8" borderId="35" xfId="6" applyNumberFormat="1" applyFont="1" applyFill="1" applyBorder="1" applyAlignment="1">
      <alignment vertical="center" shrinkToFit="1"/>
    </xf>
    <xf numFmtId="183" fontId="23" fillId="8" borderId="24" xfId="6" applyNumberFormat="1" applyFont="1" applyFill="1" applyBorder="1" applyAlignment="1">
      <alignment vertical="center" shrinkToFit="1"/>
    </xf>
    <xf numFmtId="183" fontId="23" fillId="8" borderId="25" xfId="6" applyNumberFormat="1" applyFont="1" applyFill="1" applyBorder="1" applyAlignment="1">
      <alignment vertical="center" shrinkToFit="1"/>
    </xf>
    <xf numFmtId="0" fontId="14" fillId="6" borderId="2" xfId="0" applyFont="1" applyFill="1" applyBorder="1" applyAlignment="1">
      <alignment horizontal="center" vertical="center" shrinkToFit="1"/>
    </xf>
    <xf numFmtId="0" fontId="14" fillId="6" borderId="23" xfId="0" applyFont="1" applyFill="1" applyBorder="1" applyAlignment="1">
      <alignment horizontal="center" vertical="center" shrinkToFit="1"/>
    </xf>
    <xf numFmtId="0" fontId="35" fillId="6" borderId="16" xfId="0" applyFont="1" applyFill="1" applyBorder="1" applyAlignment="1">
      <alignment vertical="center"/>
    </xf>
    <xf numFmtId="0" fontId="35" fillId="6" borderId="29" xfId="0" applyFont="1" applyFill="1" applyBorder="1" applyAlignment="1">
      <alignment vertical="center"/>
    </xf>
    <xf numFmtId="0" fontId="35" fillId="6" borderId="17" xfId="0" applyFont="1" applyFill="1" applyBorder="1" applyAlignment="1">
      <alignment vertical="center"/>
    </xf>
    <xf numFmtId="0" fontId="14" fillId="0" borderId="23" xfId="0" applyFont="1" applyBorder="1" applyAlignment="1">
      <alignment horizontal="distributed" vertical="center"/>
    </xf>
    <xf numFmtId="0" fontId="14" fillId="0" borderId="2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8" fontId="23" fillId="8" borderId="36" xfId="6" applyFont="1" applyFill="1" applyBorder="1" applyAlignment="1">
      <alignment horizontal="center" vertical="center" shrinkToFit="1"/>
    </xf>
    <xf numFmtId="38" fontId="23" fillId="8" borderId="1" xfId="6" applyFont="1" applyFill="1" applyBorder="1" applyAlignment="1">
      <alignment horizontal="center" vertical="center" shrinkToFit="1"/>
    </xf>
    <xf numFmtId="38" fontId="23" fillId="8" borderId="37" xfId="6" applyFont="1" applyFill="1" applyBorder="1" applyAlignment="1">
      <alignment horizontal="center" vertical="center" shrinkToFit="1"/>
    </xf>
    <xf numFmtId="0" fontId="14" fillId="0" borderId="35" xfId="0" applyFont="1" applyBorder="1" applyAlignment="1">
      <alignment horizontal="left" vertical="center" shrinkToFit="1"/>
    </xf>
    <xf numFmtId="0" fontId="14" fillId="0" borderId="24" xfId="0" applyFont="1" applyBorder="1" applyAlignment="1">
      <alignment horizontal="left" vertical="center" shrinkToFit="1"/>
    </xf>
    <xf numFmtId="0" fontId="14" fillId="6" borderId="24" xfId="0" applyFont="1" applyFill="1" applyBorder="1" applyAlignment="1">
      <alignment vertical="center" shrinkToFit="1"/>
    </xf>
    <xf numFmtId="0" fontId="14" fillId="6" borderId="25" xfId="0" applyFont="1" applyFill="1" applyBorder="1" applyAlignment="1">
      <alignment vertical="center" shrinkToFit="1"/>
    </xf>
    <xf numFmtId="0" fontId="14" fillId="0" borderId="0" xfId="0" applyFont="1" applyAlignment="1">
      <alignment vertical="center"/>
    </xf>
    <xf numFmtId="0" fontId="14" fillId="0" borderId="38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38" fontId="16" fillId="3" borderId="7" xfId="6" applyFont="1" applyFill="1" applyBorder="1" applyAlignment="1">
      <alignment horizontal="center" vertical="center"/>
    </xf>
    <xf numFmtId="38" fontId="16" fillId="3" borderId="6" xfId="6" applyFont="1" applyFill="1" applyBorder="1" applyAlignment="1">
      <alignment horizontal="center" vertical="center"/>
    </xf>
    <xf numFmtId="38" fontId="16" fillId="3" borderId="26" xfId="6" applyFont="1" applyFill="1" applyBorder="1" applyAlignment="1">
      <alignment horizontal="center" vertical="center"/>
    </xf>
    <xf numFmtId="38" fontId="16" fillId="3" borderId="98" xfId="6" applyFont="1" applyFill="1" applyBorder="1" applyAlignment="1">
      <alignment horizontal="center" vertical="center"/>
    </xf>
    <xf numFmtId="38" fontId="16" fillId="3" borderId="3" xfId="6" applyFont="1" applyFill="1" applyBorder="1" applyAlignment="1">
      <alignment horizontal="center" vertical="center"/>
    </xf>
    <xf numFmtId="38" fontId="16" fillId="3" borderId="75" xfId="6" applyFont="1" applyFill="1" applyBorder="1" applyAlignment="1">
      <alignment horizontal="center" vertical="center"/>
    </xf>
    <xf numFmtId="180" fontId="34" fillId="0" borderId="70" xfId="6" applyNumberFormat="1" applyFont="1" applyFill="1" applyBorder="1" applyAlignment="1">
      <alignment horizontal="right" vertical="center"/>
    </xf>
    <xf numFmtId="180" fontId="34" fillId="0" borderId="65" xfId="6" applyNumberFormat="1" applyFont="1" applyFill="1" applyBorder="1" applyAlignment="1">
      <alignment horizontal="right" vertical="center"/>
    </xf>
    <xf numFmtId="183" fontId="23" fillId="0" borderId="35" xfId="6" applyNumberFormat="1" applyFont="1" applyFill="1" applyBorder="1" applyAlignment="1">
      <alignment horizontal="right" vertical="center" shrinkToFit="1"/>
    </xf>
    <xf numFmtId="183" fontId="23" fillId="0" borderId="24" xfId="6" applyNumberFormat="1" applyFont="1" applyFill="1" applyBorder="1" applyAlignment="1">
      <alignment horizontal="right" vertical="center" shrinkToFit="1"/>
    </xf>
    <xf numFmtId="183" fontId="23" fillId="0" borderId="25" xfId="6" applyNumberFormat="1" applyFont="1" applyFill="1" applyBorder="1" applyAlignment="1">
      <alignment horizontal="right" vertical="center" shrinkToFit="1"/>
    </xf>
    <xf numFmtId="180" fontId="23" fillId="7" borderId="40" xfId="6" applyNumberFormat="1" applyFont="1" applyFill="1" applyBorder="1" applyAlignment="1">
      <alignment horizontal="center" vertical="center" shrinkToFit="1"/>
    </xf>
    <xf numFmtId="180" fontId="23" fillId="7" borderId="37" xfId="6" applyNumberFormat="1" applyFont="1" applyFill="1" applyBorder="1" applyAlignment="1">
      <alignment horizontal="center" vertical="center" shrinkToFit="1"/>
    </xf>
    <xf numFmtId="183" fontId="23" fillId="8" borderId="40" xfId="0" applyNumberFormat="1" applyFont="1" applyFill="1" applyBorder="1" applyAlignment="1">
      <alignment vertical="center" shrinkToFit="1"/>
    </xf>
    <xf numFmtId="183" fontId="23" fillId="8" borderId="1" xfId="0" applyNumberFormat="1" applyFont="1" applyFill="1" applyBorder="1" applyAlignment="1">
      <alignment vertical="center" shrinkToFit="1"/>
    </xf>
    <xf numFmtId="183" fontId="23" fillId="8" borderId="39" xfId="0" applyNumberFormat="1" applyFont="1" applyFill="1" applyBorder="1" applyAlignment="1">
      <alignment vertical="center" shrinkToFit="1"/>
    </xf>
    <xf numFmtId="180" fontId="23" fillId="0" borderId="40" xfId="0" applyNumberFormat="1" applyFont="1" applyBorder="1" applyAlignment="1">
      <alignment vertical="center" shrinkToFit="1"/>
    </xf>
    <xf numFmtId="180" fontId="23" fillId="0" borderId="1" xfId="0" applyNumberFormat="1" applyFont="1" applyBorder="1" applyAlignment="1">
      <alignment vertical="center" shrinkToFit="1"/>
    </xf>
    <xf numFmtId="180" fontId="23" fillId="0" borderId="39" xfId="0" applyNumberFormat="1" applyFont="1" applyBorder="1" applyAlignment="1">
      <alignment vertical="center" shrinkToFit="1"/>
    </xf>
    <xf numFmtId="180" fontId="23" fillId="0" borderId="35" xfId="6" applyNumberFormat="1" applyFont="1" applyFill="1" applyBorder="1" applyAlignment="1">
      <alignment vertical="center" shrinkToFit="1"/>
    </xf>
    <xf numFmtId="180" fontId="23" fillId="0" borderId="24" xfId="6" applyNumberFormat="1" applyFont="1" applyFill="1" applyBorder="1" applyAlignment="1">
      <alignment vertical="center" shrinkToFit="1"/>
    </xf>
    <xf numFmtId="180" fontId="23" fillId="0" borderId="25" xfId="6" applyNumberFormat="1" applyFont="1" applyFill="1" applyBorder="1" applyAlignment="1">
      <alignment vertical="center" shrinkToFit="1"/>
    </xf>
    <xf numFmtId="180" fontId="23" fillId="7" borderId="36" xfId="0" applyNumberFormat="1" applyFont="1" applyFill="1" applyBorder="1" applyAlignment="1">
      <alignment vertical="center" shrinkToFit="1"/>
    </xf>
    <xf numFmtId="180" fontId="23" fillId="7" borderId="1" xfId="0" applyNumberFormat="1" applyFont="1" applyFill="1" applyBorder="1" applyAlignment="1">
      <alignment vertical="center" shrinkToFit="1"/>
    </xf>
    <xf numFmtId="180" fontId="23" fillId="7" borderId="37" xfId="0" applyNumberFormat="1" applyFont="1" applyFill="1" applyBorder="1" applyAlignment="1">
      <alignment vertical="center" shrinkToFit="1"/>
    </xf>
    <xf numFmtId="38" fontId="23" fillId="14" borderId="12" xfId="6" applyFont="1" applyFill="1" applyBorder="1" applyAlignment="1">
      <alignment horizontal="center" vertical="center" shrinkToFit="1"/>
    </xf>
    <xf numFmtId="38" fontId="23" fillId="14" borderId="2" xfId="6" applyFont="1" applyFill="1" applyBorder="1" applyAlignment="1">
      <alignment horizontal="center" vertical="center" shrinkToFit="1"/>
    </xf>
    <xf numFmtId="38" fontId="23" fillId="14" borderId="10" xfId="6" applyFont="1" applyFill="1" applyBorder="1" applyAlignment="1">
      <alignment horizontal="center" vertical="center" shrinkToFit="1"/>
    </xf>
    <xf numFmtId="0" fontId="14" fillId="6" borderId="30" xfId="0" applyFont="1" applyFill="1" applyBorder="1" applyAlignment="1">
      <alignment horizontal="center" vertical="center" shrinkToFit="1"/>
    </xf>
    <xf numFmtId="0" fontId="14" fillId="6" borderId="31" xfId="0" applyFont="1" applyFill="1" applyBorder="1" applyAlignment="1">
      <alignment horizontal="center" vertical="center" shrinkToFit="1"/>
    </xf>
    <xf numFmtId="0" fontId="14" fillId="0" borderId="38" xfId="0" applyFont="1" applyBorder="1" applyAlignment="1">
      <alignment horizontal="left" vertical="center" shrinkToFit="1"/>
    </xf>
    <xf numFmtId="0" fontId="14" fillId="0" borderId="30" xfId="0" applyFont="1" applyBorder="1" applyAlignment="1">
      <alignment horizontal="left" vertical="center" shrinkToFit="1"/>
    </xf>
    <xf numFmtId="0" fontId="14" fillId="6" borderId="30" xfId="0" applyFont="1" applyFill="1" applyBorder="1" applyAlignment="1">
      <alignment vertical="center" shrinkToFit="1"/>
    </xf>
    <xf numFmtId="0" fontId="14" fillId="6" borderId="31" xfId="0" applyFont="1" applyFill="1" applyBorder="1" applyAlignment="1">
      <alignment vertical="center" shrinkToFit="1"/>
    </xf>
    <xf numFmtId="0" fontId="14" fillId="0" borderId="16" xfId="0" applyFont="1" applyBorder="1" applyAlignment="1">
      <alignment vertical="center" shrinkToFit="1"/>
    </xf>
    <xf numFmtId="0" fontId="14" fillId="0" borderId="29" xfId="0" applyFont="1" applyBorder="1" applyAlignment="1">
      <alignment vertical="center" shrinkToFit="1"/>
    </xf>
    <xf numFmtId="0" fontId="14" fillId="6" borderId="29" xfId="0" applyFont="1" applyFill="1" applyBorder="1" applyAlignment="1">
      <alignment vertical="center" shrinkToFit="1"/>
    </xf>
    <xf numFmtId="0" fontId="14" fillId="6" borderId="17" xfId="0" applyFont="1" applyFill="1" applyBorder="1" applyAlignment="1">
      <alignment vertical="center" shrinkToFit="1"/>
    </xf>
    <xf numFmtId="176" fontId="23" fillId="27" borderId="12" xfId="0" applyNumberFormat="1" applyFont="1" applyFill="1" applyBorder="1" applyAlignment="1">
      <alignment horizontal="right" vertical="center" shrinkToFit="1"/>
    </xf>
    <xf numFmtId="176" fontId="23" fillId="27" borderId="2" xfId="0" applyNumberFormat="1" applyFont="1" applyFill="1" applyBorder="1" applyAlignment="1">
      <alignment horizontal="right" vertical="center" shrinkToFit="1"/>
    </xf>
    <xf numFmtId="176" fontId="23" fillId="27" borderId="10" xfId="0" applyNumberFormat="1" applyFont="1" applyFill="1" applyBorder="1" applyAlignment="1">
      <alignment horizontal="right" vertical="center" shrinkToFit="1"/>
    </xf>
    <xf numFmtId="176" fontId="23" fillId="0" borderId="9" xfId="0" applyNumberFormat="1" applyFont="1" applyBorder="1" applyAlignment="1">
      <alignment vertical="center" shrinkToFit="1"/>
    </xf>
    <xf numFmtId="38" fontId="23" fillId="11" borderId="9" xfId="6" applyFont="1" applyFill="1" applyBorder="1" applyAlignment="1">
      <alignment horizontal="right" vertical="center"/>
    </xf>
    <xf numFmtId="38" fontId="23" fillId="0" borderId="9" xfId="6" applyFont="1" applyFill="1" applyBorder="1" applyAlignment="1">
      <alignment vertical="center"/>
    </xf>
    <xf numFmtId="38" fontId="23" fillId="0" borderId="9" xfId="6" applyFont="1" applyFill="1" applyBorder="1" applyAlignment="1">
      <alignment horizontal="right" vertical="center"/>
    </xf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textRotation="255"/>
    </xf>
    <xf numFmtId="38" fontId="23" fillId="0" borderId="12" xfId="6" applyFont="1" applyFill="1" applyBorder="1" applyAlignment="1">
      <alignment horizontal="center" vertical="center" wrapText="1" shrinkToFit="1"/>
    </xf>
    <xf numFmtId="38" fontId="23" fillId="0" borderId="2" xfId="6" applyFont="1" applyFill="1" applyBorder="1" applyAlignment="1">
      <alignment horizontal="center" vertical="center" wrapText="1" shrinkToFit="1"/>
    </xf>
    <xf numFmtId="38" fontId="23" fillId="0" borderId="10" xfId="6" applyFont="1" applyFill="1" applyBorder="1" applyAlignment="1">
      <alignment horizontal="center" vertical="center" wrapText="1" shrinkToFit="1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38" fontId="23" fillId="0" borderId="49" xfId="6" applyFont="1" applyFill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14" fillId="0" borderId="11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38" fontId="23" fillId="0" borderId="4" xfId="6" applyFont="1" applyFill="1" applyBorder="1" applyAlignment="1">
      <alignment horizontal="right" vertical="center"/>
    </xf>
    <xf numFmtId="0" fontId="23" fillId="5" borderId="36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center" vertical="center"/>
    </xf>
    <xf numFmtId="38" fontId="23" fillId="5" borderId="40" xfId="6" applyFont="1" applyFill="1" applyBorder="1" applyAlignment="1">
      <alignment horizontal="right" vertical="center"/>
    </xf>
    <xf numFmtId="38" fontId="23" fillId="5" borderId="1" xfId="6" applyFont="1" applyFill="1" applyBorder="1" applyAlignment="1">
      <alignment horizontal="right" vertical="center"/>
    </xf>
    <xf numFmtId="38" fontId="23" fillId="5" borderId="39" xfId="6" applyFont="1" applyFill="1" applyBorder="1" applyAlignment="1">
      <alignment horizontal="right" vertical="center"/>
    </xf>
    <xf numFmtId="0" fontId="23" fillId="9" borderId="1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176" fontId="23" fillId="0" borderId="38" xfId="0" applyNumberFormat="1" applyFont="1" applyBorder="1" applyAlignment="1">
      <alignment horizontal="right" vertical="center" shrinkToFit="1"/>
    </xf>
    <xf numFmtId="176" fontId="23" fillId="0" borderId="30" xfId="0" applyNumberFormat="1" applyFont="1" applyBorder="1" applyAlignment="1">
      <alignment horizontal="right" vertical="center" shrinkToFit="1"/>
    </xf>
    <xf numFmtId="176" fontId="23" fillId="0" borderId="31" xfId="0" applyNumberFormat="1" applyFont="1" applyBorder="1" applyAlignment="1">
      <alignment horizontal="right" vertical="center" shrinkToFit="1"/>
    </xf>
    <xf numFmtId="38" fontId="23" fillId="0" borderId="13" xfId="6" applyFont="1" applyFill="1" applyBorder="1" applyAlignment="1">
      <alignment vertical="center"/>
    </xf>
    <xf numFmtId="38" fontId="23" fillId="0" borderId="23" xfId="6" applyFont="1" applyFill="1" applyBorder="1" applyAlignment="1">
      <alignment vertical="center"/>
    </xf>
    <xf numFmtId="38" fontId="23" fillId="0" borderId="14" xfId="6" applyFont="1" applyFill="1" applyBorder="1" applyAlignment="1">
      <alignment vertical="center"/>
    </xf>
    <xf numFmtId="38" fontId="23" fillId="0" borderId="21" xfId="6" applyFont="1" applyFill="1" applyBorder="1" applyAlignment="1">
      <alignment vertical="center"/>
    </xf>
    <xf numFmtId="38" fontId="23" fillId="0" borderId="3" xfId="6" applyFont="1" applyFill="1" applyBorder="1" applyAlignment="1">
      <alignment vertical="center"/>
    </xf>
    <xf numFmtId="38" fontId="23" fillId="0" borderId="11" xfId="6" applyFont="1" applyFill="1" applyBorder="1" applyAlignment="1">
      <alignment vertical="center"/>
    </xf>
    <xf numFmtId="185" fontId="23" fillId="0" borderId="38" xfId="6" applyNumberFormat="1" applyFont="1" applyFill="1" applyBorder="1" applyAlignment="1">
      <alignment horizontal="right" vertical="center" shrinkToFit="1"/>
    </xf>
    <xf numFmtId="185" fontId="23" fillId="0" borderId="30" xfId="6" applyNumberFormat="1" applyFont="1" applyFill="1" applyBorder="1" applyAlignment="1">
      <alignment horizontal="right" vertical="center" shrinkToFit="1"/>
    </xf>
    <xf numFmtId="185" fontId="23" fillId="0" borderId="31" xfId="6" applyNumberFormat="1" applyFont="1" applyFill="1" applyBorder="1" applyAlignment="1">
      <alignment horizontal="right" vertical="center" shrinkToFit="1"/>
    </xf>
    <xf numFmtId="181" fontId="23" fillId="28" borderId="13" xfId="0" applyNumberFormat="1" applyFont="1" applyFill="1" applyBorder="1" applyAlignment="1">
      <alignment horizontal="right" vertical="center" shrinkToFit="1"/>
    </xf>
    <xf numFmtId="181" fontId="23" fillId="28" borderId="23" xfId="0" applyNumberFormat="1" applyFont="1" applyFill="1" applyBorder="1" applyAlignment="1">
      <alignment horizontal="right" vertical="center" shrinkToFit="1"/>
    </xf>
    <xf numFmtId="181" fontId="23" fillId="28" borderId="14" xfId="0" applyNumberFormat="1" applyFont="1" applyFill="1" applyBorder="1" applyAlignment="1">
      <alignment horizontal="right" vertical="center" shrinkToFit="1"/>
    </xf>
    <xf numFmtId="181" fontId="23" fillId="28" borderId="21" xfId="0" applyNumberFormat="1" applyFont="1" applyFill="1" applyBorder="1" applyAlignment="1">
      <alignment horizontal="right" vertical="center" shrinkToFit="1"/>
    </xf>
    <xf numFmtId="181" fontId="23" fillId="28" borderId="3" xfId="0" applyNumberFormat="1" applyFont="1" applyFill="1" applyBorder="1" applyAlignment="1">
      <alignment horizontal="right" vertical="center" shrinkToFit="1"/>
    </xf>
    <xf numFmtId="181" fontId="23" fillId="28" borderId="11" xfId="0" applyNumberFormat="1" applyFont="1" applyFill="1" applyBorder="1" applyAlignment="1">
      <alignment horizontal="right" vertical="center" shrinkToFit="1"/>
    </xf>
    <xf numFmtId="38" fontId="23" fillId="0" borderId="38" xfId="6" applyFont="1" applyFill="1" applyBorder="1" applyAlignment="1">
      <alignment horizontal="right" vertical="center"/>
    </xf>
    <xf numFmtId="38" fontId="23" fillId="0" borderId="30" xfId="6" applyFont="1" applyFill="1" applyBorder="1" applyAlignment="1">
      <alignment horizontal="right" vertical="center"/>
    </xf>
    <xf numFmtId="38" fontId="23" fillId="0" borderId="31" xfId="6" applyFont="1" applyFill="1" applyBorder="1" applyAlignment="1">
      <alignment horizontal="right" vertical="center"/>
    </xf>
    <xf numFmtId="0" fontId="14" fillId="11" borderId="41" xfId="0" applyFont="1" applyFill="1" applyBorder="1" applyAlignment="1">
      <alignment vertical="center"/>
    </xf>
    <xf numFmtId="0" fontId="14" fillId="11" borderId="42" xfId="0" applyFont="1" applyFill="1" applyBorder="1" applyAlignment="1">
      <alignment vertical="center"/>
    </xf>
    <xf numFmtId="0" fontId="23" fillId="9" borderId="12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3" fillId="9" borderId="10" xfId="0" applyFont="1" applyFill="1" applyBorder="1" applyAlignment="1">
      <alignment horizontal="center" vertical="center" shrinkToFit="1"/>
    </xf>
    <xf numFmtId="176" fontId="23" fillId="0" borderId="49" xfId="0" applyNumberFormat="1" applyFont="1" applyBorder="1" applyAlignment="1">
      <alignment vertical="center" shrinkToFit="1"/>
    </xf>
    <xf numFmtId="0" fontId="23" fillId="0" borderId="49" xfId="0" applyFont="1" applyBorder="1" applyAlignment="1">
      <alignment vertical="center" shrinkToFit="1"/>
    </xf>
    <xf numFmtId="181" fontId="23" fillId="28" borderId="13" xfId="0" applyNumberFormat="1" applyFont="1" applyFill="1" applyBorder="1" applyAlignment="1">
      <alignment vertical="center" shrinkToFit="1"/>
    </xf>
    <xf numFmtId="181" fontId="23" fillId="28" borderId="23" xfId="0" applyNumberFormat="1" applyFont="1" applyFill="1" applyBorder="1" applyAlignment="1">
      <alignment vertical="center" shrinkToFit="1"/>
    </xf>
    <xf numFmtId="181" fontId="23" fillId="28" borderId="14" xfId="0" applyNumberFormat="1" applyFont="1" applyFill="1" applyBorder="1" applyAlignment="1">
      <alignment vertical="center" shrinkToFit="1"/>
    </xf>
    <xf numFmtId="181" fontId="23" fillId="28" borderId="21" xfId="0" applyNumberFormat="1" applyFont="1" applyFill="1" applyBorder="1" applyAlignment="1">
      <alignment vertical="center" shrinkToFit="1"/>
    </xf>
    <xf numFmtId="181" fontId="23" fillId="28" borderId="3" xfId="0" applyNumberFormat="1" applyFont="1" applyFill="1" applyBorder="1" applyAlignment="1">
      <alignment vertical="center" shrinkToFit="1"/>
    </xf>
    <xf numFmtId="181" fontId="23" fillId="28" borderId="11" xfId="0" applyNumberFormat="1" applyFont="1" applyFill="1" applyBorder="1" applyAlignment="1">
      <alignment vertical="center" shrinkToFit="1"/>
    </xf>
    <xf numFmtId="0" fontId="14" fillId="2" borderId="4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6" fontId="23" fillId="0" borderId="48" xfId="0" applyNumberFormat="1" applyFont="1" applyBorder="1" applyAlignment="1">
      <alignment vertical="center" shrinkToFit="1"/>
    </xf>
    <xf numFmtId="38" fontId="14" fillId="6" borderId="41" xfId="6" applyFont="1" applyFill="1" applyBorder="1" applyAlignment="1">
      <alignment vertical="center"/>
    </xf>
    <xf numFmtId="0" fontId="14" fillId="6" borderId="44" xfId="0" applyFont="1" applyFill="1" applyBorder="1" applyAlignment="1">
      <alignment vertical="center"/>
    </xf>
    <xf numFmtId="0" fontId="14" fillId="6" borderId="42" xfId="0" applyFont="1" applyFill="1" applyBorder="1" applyAlignment="1">
      <alignment vertical="center"/>
    </xf>
    <xf numFmtId="0" fontId="23" fillId="14" borderId="9" xfId="0" applyFont="1" applyFill="1" applyBorder="1" applyAlignment="1">
      <alignment horizontal="center" vertical="center"/>
    </xf>
    <xf numFmtId="0" fontId="31" fillId="12" borderId="36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12" borderId="37" xfId="0" applyFont="1" applyFill="1" applyBorder="1" applyAlignment="1">
      <alignment horizontal="center" vertical="center"/>
    </xf>
    <xf numFmtId="38" fontId="30" fillId="12" borderId="40" xfId="6" applyFont="1" applyFill="1" applyBorder="1" applyAlignment="1">
      <alignment vertical="center"/>
    </xf>
    <xf numFmtId="38" fontId="30" fillId="12" borderId="1" xfId="6" applyFont="1" applyFill="1" applyBorder="1" applyAlignment="1">
      <alignment vertical="center"/>
    </xf>
    <xf numFmtId="38" fontId="30" fillId="12" borderId="39" xfId="6" applyFont="1" applyFill="1" applyBorder="1" applyAlignment="1">
      <alignment vertical="center"/>
    </xf>
    <xf numFmtId="0" fontId="23" fillId="13" borderId="9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11" borderId="41" xfId="0" applyFont="1" applyFill="1" applyBorder="1" applyAlignment="1">
      <alignment horizontal="center" vertical="center"/>
    </xf>
    <xf numFmtId="0" fontId="14" fillId="11" borderId="44" xfId="0" applyFont="1" applyFill="1" applyBorder="1" applyAlignment="1">
      <alignment horizontal="center" vertical="center"/>
    </xf>
    <xf numFmtId="0" fontId="14" fillId="11" borderId="42" xfId="0" applyFont="1" applyFill="1" applyBorder="1" applyAlignment="1">
      <alignment horizontal="center" vertical="center"/>
    </xf>
    <xf numFmtId="0" fontId="19" fillId="28" borderId="21" xfId="0" applyFont="1" applyFill="1" applyBorder="1" applyAlignment="1">
      <alignment horizontal="center" vertical="center" wrapText="1" shrinkToFit="1"/>
    </xf>
    <xf numFmtId="0" fontId="19" fillId="28" borderId="3" xfId="0" applyFont="1" applyFill="1" applyBorder="1" applyAlignment="1">
      <alignment horizontal="center" vertical="center" wrapText="1" shrinkToFit="1"/>
    </xf>
    <xf numFmtId="0" fontId="19" fillId="28" borderId="11" xfId="0" applyFont="1" applyFill="1" applyBorder="1" applyAlignment="1">
      <alignment horizontal="center" vertical="center" wrapText="1" shrinkToFit="1"/>
    </xf>
    <xf numFmtId="0" fontId="17" fillId="0" borderId="0" xfId="0" applyFont="1" applyAlignment="1">
      <alignment vertical="center" shrinkToFit="1"/>
    </xf>
    <xf numFmtId="0" fontId="14" fillId="6" borderId="22" xfId="0" applyFont="1" applyFill="1" applyBorder="1" applyAlignment="1">
      <alignment horizontal="left" vertical="center" wrapText="1" indent="1"/>
    </xf>
    <xf numFmtId="0" fontId="14" fillId="6" borderId="0" xfId="0" applyFont="1" applyFill="1" applyAlignment="1">
      <alignment horizontal="left" vertical="center" wrapText="1" indent="1"/>
    </xf>
    <xf numFmtId="0" fontId="14" fillId="6" borderId="18" xfId="0" applyFont="1" applyFill="1" applyBorder="1" applyAlignment="1">
      <alignment horizontal="left" vertical="center" wrapText="1" indent="1"/>
    </xf>
    <xf numFmtId="0" fontId="14" fillId="6" borderId="21" xfId="0" applyFont="1" applyFill="1" applyBorder="1" applyAlignment="1">
      <alignment horizontal="left" vertical="center" wrapText="1" indent="1"/>
    </xf>
    <xf numFmtId="0" fontId="14" fillId="6" borderId="3" xfId="0" applyFont="1" applyFill="1" applyBorder="1" applyAlignment="1">
      <alignment horizontal="left" vertical="center" wrapText="1" indent="1"/>
    </xf>
    <xf numFmtId="0" fontId="14" fillId="6" borderId="11" xfId="0" applyFont="1" applyFill="1" applyBorder="1" applyAlignment="1">
      <alignment horizontal="left" vertical="center" wrapText="1" indent="1"/>
    </xf>
    <xf numFmtId="0" fontId="14" fillId="6" borderId="13" xfId="0" applyFont="1" applyFill="1" applyBorder="1" applyAlignment="1">
      <alignment horizontal="left" vertical="center" wrapText="1" indent="1"/>
    </xf>
    <xf numFmtId="0" fontId="14" fillId="6" borderId="23" xfId="0" applyFont="1" applyFill="1" applyBorder="1" applyAlignment="1">
      <alignment horizontal="left" vertical="center" wrapText="1" indent="1"/>
    </xf>
    <xf numFmtId="0" fontId="14" fillId="6" borderId="14" xfId="0" applyFont="1" applyFill="1" applyBorder="1" applyAlignment="1">
      <alignment horizontal="left" vertical="center" wrapText="1" indent="1"/>
    </xf>
    <xf numFmtId="0" fontId="23" fillId="0" borderId="3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38" fontId="23" fillId="0" borderId="48" xfId="6" applyFont="1" applyFill="1" applyBorder="1" applyAlignment="1">
      <alignment vertical="center"/>
    </xf>
    <xf numFmtId="0" fontId="14" fillId="11" borderId="0" xfId="0" applyFont="1" applyFill="1" applyAlignment="1">
      <alignment horizontal="distributed" vertical="center" shrinkToFit="1"/>
    </xf>
    <xf numFmtId="0" fontId="14" fillId="11" borderId="3" xfId="0" applyFont="1" applyFill="1" applyBorder="1" applyAlignment="1">
      <alignment horizontal="distributed" vertical="center" shrinkToFit="1"/>
    </xf>
    <xf numFmtId="0" fontId="14" fillId="11" borderId="23" xfId="0" applyFont="1" applyFill="1" applyBorder="1" applyAlignment="1">
      <alignment horizontal="distributed" vertical="center" shrinkToFit="1"/>
    </xf>
    <xf numFmtId="0" fontId="14" fillId="11" borderId="33" xfId="0" applyFont="1" applyFill="1" applyBorder="1" applyAlignment="1">
      <alignment horizontal="distributed" vertical="center" shrinkToFit="1"/>
    </xf>
    <xf numFmtId="0" fontId="14" fillId="11" borderId="2" xfId="0" applyFont="1" applyFill="1" applyBorder="1" applyAlignment="1">
      <alignment horizontal="distributed" vertical="center" shrinkToFit="1"/>
    </xf>
    <xf numFmtId="0" fontId="14" fillId="0" borderId="3" xfId="0" applyFont="1" applyBorder="1" applyAlignment="1">
      <alignment horizontal="distributed" vertical="center" shrinkToFit="1"/>
    </xf>
    <xf numFmtId="0" fontId="23" fillId="28" borderId="13" xfId="0" applyFont="1" applyFill="1" applyBorder="1" applyAlignment="1">
      <alignment horizontal="distributed" vertical="center" justifyLastLine="1"/>
    </xf>
    <xf numFmtId="0" fontId="23" fillId="28" borderId="23" xfId="0" applyFont="1" applyFill="1" applyBorder="1" applyAlignment="1">
      <alignment horizontal="distributed" vertical="center" justifyLastLine="1"/>
    </xf>
    <xf numFmtId="0" fontId="23" fillId="28" borderId="14" xfId="0" applyFont="1" applyFill="1" applyBorder="1" applyAlignment="1">
      <alignment horizontal="distributed" vertical="center" justifyLastLine="1"/>
    </xf>
    <xf numFmtId="0" fontId="14" fillId="0" borderId="0" xfId="0" applyFont="1" applyAlignment="1">
      <alignment horizontal="left" vertical="center"/>
    </xf>
    <xf numFmtId="186" fontId="14" fillId="6" borderId="2" xfId="0" applyNumberFormat="1" applyFont="1" applyFill="1" applyBorder="1" applyAlignment="1">
      <alignment horizontal="center" vertical="center" shrinkToFit="1"/>
    </xf>
    <xf numFmtId="0" fontId="31" fillId="11" borderId="12" xfId="0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0" fontId="31" fillId="11" borderId="10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84" fontId="31" fillId="6" borderId="2" xfId="0" applyNumberFormat="1" applyFont="1" applyFill="1" applyBorder="1" applyAlignment="1">
      <alignment horizontal="center" vertical="center" shrinkToFit="1"/>
    </xf>
    <xf numFmtId="184" fontId="31" fillId="6" borderId="2" xfId="0" quotePrefix="1" applyNumberFormat="1" applyFont="1" applyFill="1" applyBorder="1" applyAlignment="1">
      <alignment horizontal="center" vertical="center" shrinkToFit="1"/>
    </xf>
    <xf numFmtId="184" fontId="31" fillId="6" borderId="10" xfId="0" quotePrefix="1" applyNumberFormat="1" applyFont="1" applyFill="1" applyBorder="1" applyAlignment="1">
      <alignment horizontal="center" vertical="center" shrinkToFit="1"/>
    </xf>
    <xf numFmtId="38" fontId="23" fillId="13" borderId="12" xfId="6" applyFont="1" applyFill="1" applyBorder="1" applyAlignment="1">
      <alignment horizontal="center" vertical="center" shrinkToFit="1"/>
    </xf>
    <xf numFmtId="0" fontId="14" fillId="6" borderId="16" xfId="0" applyFont="1" applyFill="1" applyBorder="1" applyAlignment="1">
      <alignment vertical="center"/>
    </xf>
    <xf numFmtId="0" fontId="14" fillId="6" borderId="29" xfId="0" applyFont="1" applyFill="1" applyBorder="1" applyAlignment="1">
      <alignment vertical="center"/>
    </xf>
    <xf numFmtId="0" fontId="14" fillId="6" borderId="17" xfId="0" applyFont="1" applyFill="1" applyBorder="1" applyAlignment="1">
      <alignment vertical="center"/>
    </xf>
    <xf numFmtId="0" fontId="14" fillId="0" borderId="2" xfId="0" applyFont="1" applyBorder="1" applyAlignment="1">
      <alignment horizontal="distributed" vertical="center"/>
    </xf>
    <xf numFmtId="0" fontId="14" fillId="11" borderId="13" xfId="0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 vertical="center"/>
    </xf>
    <xf numFmtId="0" fontId="14" fillId="11" borderId="14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distributed" vertical="center" shrinkToFit="1"/>
    </xf>
    <xf numFmtId="0" fontId="14" fillId="6" borderId="22" xfId="0" applyFont="1" applyFill="1" applyBorder="1" applyAlignment="1" applyProtection="1">
      <alignment horizontal="left" vertical="center" shrinkToFit="1"/>
      <protection locked="0"/>
    </xf>
    <xf numFmtId="0" fontId="14" fillId="6" borderId="0" xfId="0" applyFont="1" applyFill="1" applyAlignment="1" applyProtection="1">
      <alignment horizontal="left" vertical="center" shrinkToFit="1"/>
      <protection locked="0"/>
    </xf>
    <xf numFmtId="0" fontId="14" fillId="6" borderId="21" xfId="0" applyFont="1" applyFill="1" applyBorder="1" applyAlignment="1" applyProtection="1">
      <alignment horizontal="left" vertical="center" shrinkToFit="1"/>
      <protection locked="0"/>
    </xf>
    <xf numFmtId="0" fontId="14" fillId="6" borderId="3" xfId="0" applyFont="1" applyFill="1" applyBorder="1" applyAlignment="1" applyProtection="1">
      <alignment horizontal="left" vertical="center" shrinkToFit="1"/>
      <protection locked="0"/>
    </xf>
    <xf numFmtId="184" fontId="14" fillId="6" borderId="12" xfId="0" quotePrefix="1" applyNumberFormat="1" applyFont="1" applyFill="1" applyBorder="1" applyAlignment="1">
      <alignment horizontal="center" vertical="center" shrinkToFit="1"/>
    </xf>
    <xf numFmtId="184" fontId="14" fillId="6" borderId="2" xfId="0" quotePrefix="1" applyNumberFormat="1" applyFont="1" applyFill="1" applyBorder="1" applyAlignment="1">
      <alignment horizontal="center" vertical="center" shrinkToFit="1"/>
    </xf>
    <xf numFmtId="0" fontId="14" fillId="6" borderId="53" xfId="0" applyFont="1" applyFill="1" applyBorder="1" applyAlignment="1">
      <alignment horizontal="left" vertical="center" wrapText="1" indent="1"/>
    </xf>
    <xf numFmtId="0" fontId="14" fillId="6" borderId="33" xfId="0" applyFont="1" applyFill="1" applyBorder="1" applyAlignment="1">
      <alignment horizontal="left" vertical="center" wrapText="1" indent="1"/>
    </xf>
    <xf numFmtId="0" fontId="14" fillId="6" borderId="15" xfId="0" applyFont="1" applyFill="1" applyBorder="1" applyAlignment="1">
      <alignment horizontal="left" vertical="center" wrapText="1" indent="1"/>
    </xf>
    <xf numFmtId="0" fontId="14" fillId="6" borderId="13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84" fontId="31" fillId="6" borderId="12" xfId="0" quotePrefix="1" applyNumberFormat="1" applyFont="1" applyFill="1" applyBorder="1" applyAlignment="1">
      <alignment horizontal="center" vertical="center" shrinkToFit="1"/>
    </xf>
    <xf numFmtId="186" fontId="14" fillId="6" borderId="2" xfId="0" quotePrefix="1" applyNumberFormat="1" applyFont="1" applyFill="1" applyBorder="1" applyAlignment="1">
      <alignment horizontal="center" vertical="center" shrinkToFit="1"/>
    </xf>
    <xf numFmtId="186" fontId="14" fillId="6" borderId="10" xfId="0" quotePrefix="1" applyNumberFormat="1" applyFont="1" applyFill="1" applyBorder="1" applyAlignment="1">
      <alignment horizontal="center" vertical="center" shrinkToFit="1"/>
    </xf>
    <xf numFmtId="0" fontId="31" fillId="3" borderId="2" xfId="0" applyFont="1" applyFill="1" applyBorder="1" applyAlignment="1">
      <alignment horizontal="distributed" vertical="center" shrinkToFit="1"/>
    </xf>
    <xf numFmtId="184" fontId="31" fillId="11" borderId="12" xfId="0" quotePrefix="1" applyNumberFormat="1" applyFont="1" applyFill="1" applyBorder="1" applyAlignment="1">
      <alignment horizontal="center" vertical="center" shrinkToFit="1"/>
    </xf>
    <xf numFmtId="184" fontId="31" fillId="11" borderId="2" xfId="0" quotePrefix="1" applyNumberFormat="1" applyFont="1" applyFill="1" applyBorder="1" applyAlignment="1">
      <alignment horizontal="center" vertical="center" shrinkToFit="1"/>
    </xf>
    <xf numFmtId="56" fontId="14" fillId="6" borderId="12" xfId="0" applyNumberFormat="1" applyFont="1" applyFill="1" applyBorder="1" applyAlignment="1">
      <alignment horizontal="left" vertical="center" indent="1"/>
    </xf>
    <xf numFmtId="0" fontId="14" fillId="6" borderId="2" xfId="0" applyFont="1" applyFill="1" applyBorder="1" applyAlignment="1">
      <alignment horizontal="left" vertical="center" indent="1"/>
    </xf>
    <xf numFmtId="0" fontId="14" fillId="6" borderId="10" xfId="0" applyFont="1" applyFill="1" applyBorder="1" applyAlignment="1">
      <alignment horizontal="left" vertical="center" indent="1"/>
    </xf>
    <xf numFmtId="176" fontId="23" fillId="27" borderId="9" xfId="0" applyNumberFormat="1" applyFont="1" applyFill="1" applyBorder="1" applyAlignment="1">
      <alignment vertical="center" shrinkToFit="1"/>
    </xf>
    <xf numFmtId="184" fontId="31" fillId="11" borderId="2" xfId="0" applyNumberFormat="1" applyFont="1" applyFill="1" applyBorder="1" applyAlignment="1">
      <alignment horizontal="center" vertical="center" shrinkToFit="1"/>
    </xf>
    <xf numFmtId="184" fontId="31" fillId="11" borderId="10" xfId="0" quotePrefix="1" applyNumberFormat="1" applyFont="1" applyFill="1" applyBorder="1" applyAlignment="1">
      <alignment horizontal="center" vertical="center" shrinkToFit="1"/>
    </xf>
    <xf numFmtId="38" fontId="23" fillId="0" borderId="12" xfId="6" applyFont="1" applyFill="1" applyBorder="1" applyAlignment="1">
      <alignment horizontal="center" vertical="center" shrinkToFit="1"/>
    </xf>
    <xf numFmtId="38" fontId="23" fillId="0" borderId="2" xfId="6" applyFont="1" applyFill="1" applyBorder="1" applyAlignment="1">
      <alignment horizontal="center" vertical="center" shrinkToFit="1"/>
    </xf>
    <xf numFmtId="38" fontId="23" fillId="0" borderId="10" xfId="6" applyFont="1" applyFill="1" applyBorder="1" applyAlignment="1">
      <alignment horizontal="center" vertical="center" shrinkToFit="1"/>
    </xf>
    <xf numFmtId="180" fontId="23" fillId="6" borderId="12" xfId="6" applyNumberFormat="1" applyFont="1" applyFill="1" applyBorder="1" applyAlignment="1">
      <alignment vertical="center" shrinkToFit="1"/>
    </xf>
    <xf numFmtId="180" fontId="23" fillId="6" borderId="2" xfId="6" applyNumberFormat="1" applyFont="1" applyFill="1" applyBorder="1" applyAlignment="1">
      <alignment vertical="center" shrinkToFit="1"/>
    </xf>
    <xf numFmtId="180" fontId="23" fillId="6" borderId="10" xfId="6" applyNumberFormat="1" applyFont="1" applyFill="1" applyBorder="1" applyAlignment="1">
      <alignment vertical="center" shrinkToFit="1"/>
    </xf>
    <xf numFmtId="180" fontId="23" fillId="9" borderId="12" xfId="6" applyNumberFormat="1" applyFont="1" applyFill="1" applyBorder="1" applyAlignment="1">
      <alignment vertical="center" shrinkToFit="1"/>
    </xf>
    <xf numFmtId="180" fontId="23" fillId="9" borderId="2" xfId="6" applyNumberFormat="1" applyFont="1" applyFill="1" applyBorder="1" applyAlignment="1">
      <alignment vertical="center" shrinkToFit="1"/>
    </xf>
    <xf numFmtId="180" fontId="23" fillId="9" borderId="10" xfId="6" applyNumberFormat="1" applyFont="1" applyFill="1" applyBorder="1" applyAlignment="1">
      <alignment vertical="center" shrinkToFit="1"/>
    </xf>
    <xf numFmtId="183" fontId="23" fillId="0" borderId="12" xfId="6" applyNumberFormat="1" applyFont="1" applyFill="1" applyBorder="1" applyAlignment="1">
      <alignment horizontal="right" vertical="center" shrinkToFit="1"/>
    </xf>
    <xf numFmtId="183" fontId="23" fillId="0" borderId="2" xfId="6" applyNumberFormat="1" applyFont="1" applyFill="1" applyBorder="1" applyAlignment="1">
      <alignment horizontal="right" vertical="center" shrinkToFit="1"/>
    </xf>
    <xf numFmtId="183" fontId="23" fillId="0" borderId="10" xfId="6" applyNumberFormat="1" applyFont="1" applyFill="1" applyBorder="1" applyAlignment="1">
      <alignment horizontal="right" vertical="center" shrinkToFit="1"/>
    </xf>
    <xf numFmtId="38" fontId="23" fillId="8" borderId="56" xfId="6" applyFont="1" applyFill="1" applyBorder="1" applyAlignment="1">
      <alignment horizontal="left" vertical="center" shrinkToFit="1"/>
    </xf>
    <xf numFmtId="38" fontId="23" fillId="8" borderId="2" xfId="6" applyFont="1" applyFill="1" applyBorder="1" applyAlignment="1">
      <alignment horizontal="left" vertical="center" shrinkToFit="1"/>
    </xf>
    <xf numFmtId="38" fontId="23" fillId="8" borderId="117" xfId="6" applyFont="1" applyFill="1" applyBorder="1" applyAlignment="1">
      <alignment horizontal="left" vertical="center" shrinkToFit="1"/>
    </xf>
    <xf numFmtId="38" fontId="23" fillId="13" borderId="56" xfId="6" applyFont="1" applyFill="1" applyBorder="1" applyAlignment="1">
      <alignment horizontal="left" vertical="center" shrinkToFit="1"/>
    </xf>
    <xf numFmtId="38" fontId="23" fillId="13" borderId="2" xfId="6" applyFont="1" applyFill="1" applyBorder="1" applyAlignment="1">
      <alignment horizontal="left" vertical="center" shrinkToFit="1"/>
    </xf>
    <xf numFmtId="38" fontId="23" fillId="13" borderId="117" xfId="6" applyFont="1" applyFill="1" applyBorder="1" applyAlignment="1">
      <alignment horizontal="left" vertical="center" shrinkToFit="1"/>
    </xf>
    <xf numFmtId="38" fontId="23" fillId="8" borderId="120" xfId="6" applyFont="1" applyFill="1" applyBorder="1" applyAlignment="1">
      <alignment horizontal="left" vertical="center" shrinkToFit="1"/>
    </xf>
    <xf numFmtId="38" fontId="23" fillId="8" borderId="63" xfId="6" applyFont="1" applyFill="1" applyBorder="1" applyAlignment="1">
      <alignment horizontal="left" vertical="center" shrinkToFit="1"/>
    </xf>
    <xf numFmtId="38" fontId="23" fillId="8" borderId="121" xfId="6" applyFont="1" applyFill="1" applyBorder="1" applyAlignment="1">
      <alignment horizontal="left" vertical="center" shrinkToFit="1"/>
    </xf>
    <xf numFmtId="183" fontId="23" fillId="8" borderId="12" xfId="6" applyNumberFormat="1" applyFont="1" applyFill="1" applyBorder="1" applyAlignment="1">
      <alignment vertical="center" shrinkToFit="1"/>
    </xf>
    <xf numFmtId="183" fontId="23" fillId="8" borderId="2" xfId="6" applyNumberFormat="1" applyFont="1" applyFill="1" applyBorder="1" applyAlignment="1">
      <alignment vertical="center" shrinkToFit="1"/>
    </xf>
    <xf numFmtId="183" fontId="23" fillId="8" borderId="10" xfId="6" applyNumberFormat="1" applyFont="1" applyFill="1" applyBorder="1" applyAlignment="1">
      <alignment vertical="center" shrinkToFit="1"/>
    </xf>
    <xf numFmtId="180" fontId="23" fillId="7" borderId="12" xfId="6" applyNumberFormat="1" applyFont="1" applyFill="1" applyBorder="1" applyAlignment="1">
      <alignment vertical="center" shrinkToFit="1"/>
    </xf>
    <xf numFmtId="180" fontId="23" fillId="7" borderId="2" xfId="6" applyNumberFormat="1" applyFont="1" applyFill="1" applyBorder="1" applyAlignment="1">
      <alignment vertical="center" shrinkToFit="1"/>
    </xf>
    <xf numFmtId="180" fontId="23" fillId="7" borderId="10" xfId="6" applyNumberFormat="1" applyFont="1" applyFill="1" applyBorder="1" applyAlignment="1">
      <alignment vertical="center" shrinkToFit="1"/>
    </xf>
    <xf numFmtId="180" fontId="22" fillId="7" borderId="12" xfId="6" applyNumberFormat="1" applyFont="1" applyFill="1" applyBorder="1" applyAlignment="1">
      <alignment horizontal="center" vertical="center" shrinkToFit="1"/>
    </xf>
    <xf numFmtId="180" fontId="22" fillId="7" borderId="10" xfId="6" applyNumberFormat="1" applyFont="1" applyFill="1" applyBorder="1" applyAlignment="1">
      <alignment horizontal="center" vertical="center" shrinkToFit="1"/>
    </xf>
    <xf numFmtId="180" fontId="23" fillId="0" borderId="12" xfId="6" applyNumberFormat="1" applyFont="1" applyFill="1" applyBorder="1" applyAlignment="1">
      <alignment vertical="center" shrinkToFit="1"/>
    </xf>
    <xf numFmtId="180" fontId="23" fillId="0" borderId="2" xfId="6" applyNumberFormat="1" applyFont="1" applyFill="1" applyBorder="1" applyAlignment="1">
      <alignment vertical="center" shrinkToFit="1"/>
    </xf>
    <xf numFmtId="180" fontId="23" fillId="0" borderId="10" xfId="6" applyNumberFormat="1" applyFont="1" applyFill="1" applyBorder="1" applyAlignment="1">
      <alignment vertical="center" shrinkToFit="1"/>
    </xf>
    <xf numFmtId="0" fontId="23" fillId="0" borderId="9" xfId="0" applyFont="1" applyBorder="1" applyAlignment="1">
      <alignment horizontal="center" vertical="center" shrinkToFit="1"/>
    </xf>
    <xf numFmtId="190" fontId="23" fillId="0" borderId="9" xfId="0" applyNumberFormat="1" applyFont="1" applyBorder="1" applyAlignment="1">
      <alignment horizontal="center" vertical="center" shrinkToFit="1"/>
    </xf>
    <xf numFmtId="38" fontId="29" fillId="0" borderId="35" xfId="6" applyFont="1" applyFill="1" applyBorder="1" applyAlignment="1">
      <alignment horizontal="right" vertical="center"/>
    </xf>
    <xf numFmtId="38" fontId="29" fillId="0" borderId="24" xfId="6" applyFont="1" applyFill="1" applyBorder="1" applyAlignment="1">
      <alignment horizontal="right" vertical="center"/>
    </xf>
    <xf numFmtId="38" fontId="29" fillId="0" borderId="25" xfId="6" applyFont="1" applyFill="1" applyBorder="1" applyAlignment="1">
      <alignment horizontal="right" vertical="center"/>
    </xf>
    <xf numFmtId="38" fontId="38" fillId="0" borderId="38" xfId="6" applyFont="1" applyFill="1" applyBorder="1" applyAlignment="1">
      <alignment horizontal="right" vertical="center"/>
    </xf>
    <xf numFmtId="38" fontId="38" fillId="0" borderId="30" xfId="6" applyFont="1" applyFill="1" applyBorder="1" applyAlignment="1">
      <alignment horizontal="right" vertical="center"/>
    </xf>
    <xf numFmtId="38" fontId="38" fillId="0" borderId="31" xfId="6" applyFont="1" applyFill="1" applyBorder="1" applyAlignment="1">
      <alignment horizontal="right" vertical="center"/>
    </xf>
    <xf numFmtId="38" fontId="29" fillId="0" borderId="38" xfId="6" applyFont="1" applyFill="1" applyBorder="1" applyAlignment="1">
      <alignment horizontal="right" vertical="center"/>
    </xf>
    <xf numFmtId="38" fontId="29" fillId="0" borderId="30" xfId="6" applyFont="1" applyFill="1" applyBorder="1" applyAlignment="1">
      <alignment horizontal="right" vertical="center"/>
    </xf>
    <xf numFmtId="38" fontId="29" fillId="0" borderId="31" xfId="6" applyFont="1" applyFill="1" applyBorder="1" applyAlignment="1">
      <alignment horizontal="right" vertical="center"/>
    </xf>
    <xf numFmtId="38" fontId="38" fillId="0" borderId="35" xfId="6" applyFont="1" applyBorder="1" applyAlignment="1">
      <alignment horizontal="right" vertical="center"/>
    </xf>
    <xf numFmtId="38" fontId="38" fillId="0" borderId="24" xfId="6" applyFont="1" applyBorder="1" applyAlignment="1">
      <alignment horizontal="right" vertical="center"/>
    </xf>
    <xf numFmtId="38" fontId="38" fillId="0" borderId="25" xfId="6" applyFont="1" applyBorder="1" applyAlignment="1">
      <alignment horizontal="right" vertical="center"/>
    </xf>
    <xf numFmtId="38" fontId="38" fillId="0" borderId="35" xfId="6" applyFont="1" applyFill="1" applyBorder="1" applyAlignment="1">
      <alignment horizontal="right" vertical="center"/>
    </xf>
    <xf numFmtId="38" fontId="38" fillId="0" borderId="24" xfId="6" applyFont="1" applyFill="1" applyBorder="1" applyAlignment="1">
      <alignment horizontal="right" vertical="center"/>
    </xf>
    <xf numFmtId="38" fontId="38" fillId="0" borderId="25" xfId="6" applyFont="1" applyFill="1" applyBorder="1" applyAlignment="1">
      <alignment horizontal="right" vertical="center"/>
    </xf>
    <xf numFmtId="38" fontId="38" fillId="18" borderId="12" xfId="6" applyFont="1" applyFill="1" applyBorder="1" applyAlignment="1">
      <alignment horizontal="right" vertical="center"/>
    </xf>
    <xf numFmtId="38" fontId="38" fillId="18" borderId="2" xfId="6" applyFont="1" applyFill="1" applyBorder="1" applyAlignment="1">
      <alignment horizontal="right" vertical="center"/>
    </xf>
    <xf numFmtId="38" fontId="38" fillId="18" borderId="10" xfId="6" applyFont="1" applyFill="1" applyBorder="1" applyAlignment="1">
      <alignment horizontal="right" vertical="center"/>
    </xf>
    <xf numFmtId="38" fontId="38" fillId="0" borderId="38" xfId="6" applyFont="1" applyBorder="1" applyAlignment="1">
      <alignment horizontal="right" vertical="center"/>
    </xf>
    <xf numFmtId="38" fontId="38" fillId="0" borderId="30" xfId="6" applyFont="1" applyBorder="1" applyAlignment="1">
      <alignment horizontal="right" vertical="center"/>
    </xf>
    <xf numFmtId="38" fontId="38" fillId="0" borderId="31" xfId="6" applyFont="1" applyBorder="1" applyAlignment="1">
      <alignment horizontal="right" vertical="center"/>
    </xf>
    <xf numFmtId="38" fontId="38" fillId="18" borderId="21" xfId="6" applyFont="1" applyFill="1" applyBorder="1" applyAlignment="1">
      <alignment horizontal="right" vertical="center"/>
    </xf>
    <xf numFmtId="38" fontId="38" fillId="18" borderId="3" xfId="6" applyFont="1" applyFill="1" applyBorder="1" applyAlignment="1">
      <alignment horizontal="right" vertical="center"/>
    </xf>
    <xf numFmtId="38" fontId="38" fillId="18" borderId="11" xfId="6" applyFont="1" applyFill="1" applyBorder="1" applyAlignment="1">
      <alignment horizontal="right" vertical="center"/>
    </xf>
    <xf numFmtId="38" fontId="38" fillId="0" borderId="3" xfId="6" applyFont="1" applyBorder="1" applyAlignment="1">
      <alignment horizontal="right" vertical="center"/>
    </xf>
    <xf numFmtId="0" fontId="38" fillId="0" borderId="12" xfId="26" applyFont="1" applyBorder="1" applyAlignment="1">
      <alignment horizontal="right" vertical="center"/>
    </xf>
    <xf numFmtId="0" fontId="38" fillId="0" borderId="2" xfId="26" applyFont="1" applyBorder="1" applyAlignment="1">
      <alignment horizontal="right" vertical="center"/>
    </xf>
    <xf numFmtId="0" fontId="38" fillId="0" borderId="10" xfId="26" applyFont="1" applyBorder="1" applyAlignment="1">
      <alignment horizontal="right" vertical="center"/>
    </xf>
    <xf numFmtId="38" fontId="38" fillId="0" borderId="12" xfId="6" applyFont="1" applyFill="1" applyBorder="1" applyAlignment="1">
      <alignment horizontal="right" vertical="center"/>
    </xf>
    <xf numFmtId="38" fontId="38" fillId="0" borderId="2" xfId="6" applyFont="1" applyFill="1" applyBorder="1" applyAlignment="1">
      <alignment horizontal="right" vertical="center"/>
    </xf>
    <xf numFmtId="38" fontId="38" fillId="0" borderId="10" xfId="6" applyFont="1" applyFill="1" applyBorder="1" applyAlignment="1">
      <alignment horizontal="right" vertical="center"/>
    </xf>
    <xf numFmtId="38" fontId="29" fillId="0" borderId="12" xfId="6" applyFont="1" applyFill="1" applyBorder="1" applyAlignment="1">
      <alignment horizontal="right" vertical="center"/>
    </xf>
    <xf numFmtId="38" fontId="29" fillId="0" borderId="2" xfId="6" applyFont="1" applyFill="1" applyBorder="1" applyAlignment="1">
      <alignment horizontal="right" vertical="center"/>
    </xf>
    <xf numFmtId="38" fontId="29" fillId="0" borderId="10" xfId="6" applyFont="1" applyFill="1" applyBorder="1" applyAlignment="1">
      <alignment horizontal="right" vertical="center"/>
    </xf>
    <xf numFmtId="38" fontId="38" fillId="0" borderId="12" xfId="6" applyFont="1" applyBorder="1" applyAlignment="1">
      <alignment horizontal="right" vertical="center"/>
    </xf>
    <xf numFmtId="38" fontId="38" fillId="0" borderId="2" xfId="6" applyFont="1" applyBorder="1" applyAlignment="1">
      <alignment horizontal="right" vertical="center"/>
    </xf>
    <xf numFmtId="38" fontId="38" fillId="0" borderId="10" xfId="6" applyFont="1" applyBorder="1" applyAlignment="1">
      <alignment horizontal="right" vertical="center"/>
    </xf>
    <xf numFmtId="38" fontId="29" fillId="21" borderId="12" xfId="26" applyNumberFormat="1" applyFont="1" applyFill="1" applyBorder="1" applyAlignment="1">
      <alignment vertical="center"/>
    </xf>
    <xf numFmtId="38" fontId="29" fillId="21" borderId="2" xfId="26" applyNumberFormat="1" applyFont="1" applyFill="1" applyBorder="1" applyAlignment="1">
      <alignment vertical="center"/>
    </xf>
    <xf numFmtId="38" fontId="29" fillId="21" borderId="10" xfId="26" applyNumberFormat="1" applyFont="1" applyFill="1" applyBorder="1" applyAlignment="1">
      <alignment vertical="center"/>
    </xf>
    <xf numFmtId="0" fontId="38" fillId="20" borderId="0" xfId="26" applyFont="1" applyFill="1" applyAlignment="1">
      <alignment horizontal="center" vertical="center"/>
    </xf>
    <xf numFmtId="0" fontId="45" fillId="0" borderId="13" xfId="26" applyFont="1" applyBorder="1" applyAlignment="1">
      <alignment horizontal="center" vertical="center"/>
    </xf>
    <xf numFmtId="0" fontId="45" fillId="0" borderId="23" xfId="26" applyFont="1" applyBorder="1" applyAlignment="1">
      <alignment horizontal="center" vertical="center"/>
    </xf>
    <xf numFmtId="0" fontId="45" fillId="0" borderId="14" xfId="26" applyFont="1" applyBorder="1" applyAlignment="1">
      <alignment horizontal="center" vertical="center"/>
    </xf>
    <xf numFmtId="38" fontId="29" fillId="21" borderId="68" xfId="26" applyNumberFormat="1" applyFont="1" applyFill="1" applyBorder="1" applyAlignment="1">
      <alignment horizontal="right" vertical="center"/>
    </xf>
    <xf numFmtId="38" fontId="29" fillId="21" borderId="67" xfId="26" applyNumberFormat="1" applyFont="1" applyFill="1" applyBorder="1" applyAlignment="1">
      <alignment horizontal="right" vertical="center"/>
    </xf>
    <xf numFmtId="0" fontId="29" fillId="0" borderId="7" xfId="26" applyFont="1" applyBorder="1" applyAlignment="1">
      <alignment horizontal="center" vertical="center" wrapText="1"/>
    </xf>
    <xf numFmtId="0" fontId="29" fillId="0" borderId="6" xfId="26" applyFont="1" applyBorder="1" applyAlignment="1">
      <alignment horizontal="center" vertical="center"/>
    </xf>
    <xf numFmtId="0" fontId="29" fillId="0" borderId="71" xfId="26" applyFont="1" applyBorder="1" applyAlignment="1">
      <alignment horizontal="center" vertical="center"/>
    </xf>
    <xf numFmtId="0" fontId="29" fillId="0" borderId="8" xfId="26" applyFont="1" applyBorder="1" applyAlignment="1">
      <alignment horizontal="center" vertical="center"/>
    </xf>
    <xf numFmtId="0" fontId="29" fillId="0" borderId="5" xfId="26" applyFont="1" applyBorder="1" applyAlignment="1">
      <alignment horizontal="center" vertical="center"/>
    </xf>
    <xf numFmtId="0" fontId="29" fillId="0" borderId="64" xfId="26" applyFont="1" applyBorder="1" applyAlignment="1">
      <alignment horizontal="center" vertical="center"/>
    </xf>
    <xf numFmtId="0" fontId="38" fillId="0" borderId="66" xfId="26" applyFont="1" applyBorder="1" applyAlignment="1">
      <alignment vertical="center"/>
    </xf>
    <xf numFmtId="0" fontId="38" fillId="0" borderId="70" xfId="26" applyFont="1" applyBorder="1" applyAlignment="1">
      <alignment vertical="center"/>
    </xf>
    <xf numFmtId="0" fontId="38" fillId="0" borderId="68" xfId="26" applyFont="1" applyBorder="1" applyAlignment="1">
      <alignment vertical="center"/>
    </xf>
    <xf numFmtId="0" fontId="38" fillId="21" borderId="67" xfId="26" applyFont="1" applyFill="1" applyBorder="1" applyAlignment="1">
      <alignment vertical="center"/>
    </xf>
    <xf numFmtId="0" fontId="38" fillId="21" borderId="66" xfId="26" applyFont="1" applyFill="1" applyBorder="1" applyAlignment="1">
      <alignment vertical="center"/>
    </xf>
    <xf numFmtId="176" fontId="29" fillId="21" borderId="68" xfId="26" applyNumberFormat="1" applyFont="1" applyFill="1" applyBorder="1" applyAlignment="1">
      <alignment horizontal="right" vertical="center"/>
    </xf>
    <xf numFmtId="176" fontId="29" fillId="21" borderId="67" xfId="26" applyNumberFormat="1" applyFont="1" applyFill="1" applyBorder="1" applyAlignment="1">
      <alignment horizontal="right" vertical="center"/>
    </xf>
    <xf numFmtId="176" fontId="29" fillId="21" borderId="66" xfId="26" applyNumberFormat="1" applyFont="1" applyFill="1" applyBorder="1" applyAlignment="1">
      <alignment horizontal="right" vertical="center"/>
    </xf>
    <xf numFmtId="0" fontId="44" fillId="21" borderId="69" xfId="26" applyFont="1" applyFill="1" applyBorder="1" applyAlignment="1">
      <alignment vertical="center"/>
    </xf>
    <xf numFmtId="0" fontId="44" fillId="21" borderId="67" xfId="26" applyFont="1" applyFill="1" applyBorder="1" applyAlignment="1">
      <alignment vertical="center"/>
    </xf>
    <xf numFmtId="0" fontId="44" fillId="21" borderId="66" xfId="26" applyFont="1" applyFill="1" applyBorder="1" applyAlignment="1">
      <alignment vertical="center"/>
    </xf>
    <xf numFmtId="188" fontId="29" fillId="21" borderId="68" xfId="26" applyNumberFormat="1" applyFont="1" applyFill="1" applyBorder="1" applyAlignment="1">
      <alignment horizontal="right" vertical="center"/>
    </xf>
    <xf numFmtId="188" fontId="29" fillId="21" borderId="67" xfId="26" applyNumberFormat="1" applyFont="1" applyFill="1" applyBorder="1" applyAlignment="1">
      <alignment horizontal="right" vertical="center"/>
    </xf>
    <xf numFmtId="188" fontId="29" fillId="21" borderId="66" xfId="26" applyNumberFormat="1" applyFont="1" applyFill="1" applyBorder="1" applyAlignment="1">
      <alignment horizontal="right" vertical="center"/>
    </xf>
    <xf numFmtId="0" fontId="38" fillId="0" borderId="59" xfId="26" applyFont="1" applyBorder="1" applyAlignment="1">
      <alignment vertical="center"/>
    </xf>
    <xf numFmtId="0" fontId="38" fillId="0" borderId="63" xfId="26" applyFont="1" applyBorder="1" applyAlignment="1">
      <alignment vertical="center"/>
    </xf>
    <xf numFmtId="0" fontId="38" fillId="0" borderId="61" xfId="26" applyFont="1" applyBorder="1" applyAlignment="1">
      <alignment vertical="center"/>
    </xf>
    <xf numFmtId="38" fontId="29" fillId="21" borderId="60" xfId="26" applyNumberFormat="1" applyFont="1" applyFill="1" applyBorder="1" applyAlignment="1">
      <alignment horizontal="right" vertical="center"/>
    </xf>
    <xf numFmtId="0" fontId="38" fillId="21" borderId="60" xfId="26" applyFont="1" applyFill="1" applyBorder="1" applyAlignment="1">
      <alignment vertical="center"/>
    </xf>
    <xf numFmtId="0" fontId="38" fillId="21" borderId="59" xfId="26" applyFont="1" applyFill="1" applyBorder="1" applyAlignment="1">
      <alignment vertical="center"/>
    </xf>
    <xf numFmtId="176" fontId="29" fillId="21" borderId="61" xfId="26" applyNumberFormat="1" applyFont="1" applyFill="1" applyBorder="1" applyAlignment="1">
      <alignment horizontal="right" vertical="center"/>
    </xf>
    <xf numFmtId="176" fontId="29" fillId="21" borderId="60" xfId="26" applyNumberFormat="1" applyFont="1" applyFill="1" applyBorder="1" applyAlignment="1">
      <alignment horizontal="right" vertical="center"/>
    </xf>
    <xf numFmtId="176" fontId="29" fillId="21" borderId="59" xfId="26" applyNumberFormat="1" applyFont="1" applyFill="1" applyBorder="1" applyAlignment="1">
      <alignment horizontal="right" vertical="center"/>
    </xf>
    <xf numFmtId="0" fontId="44" fillId="21" borderId="62" xfId="26" applyFont="1" applyFill="1" applyBorder="1" applyAlignment="1">
      <alignment vertical="center"/>
    </xf>
    <xf numFmtId="0" fontId="44" fillId="21" borderId="60" xfId="26" applyFont="1" applyFill="1" applyBorder="1" applyAlignment="1">
      <alignment vertical="center"/>
    </xf>
    <xf numFmtId="0" fontId="44" fillId="21" borderId="59" xfId="26" applyFont="1" applyFill="1" applyBorder="1" applyAlignment="1">
      <alignment vertical="center"/>
    </xf>
    <xf numFmtId="38" fontId="29" fillId="21" borderId="61" xfId="26" applyNumberFormat="1" applyFont="1" applyFill="1" applyBorder="1" applyAlignment="1">
      <alignment horizontal="right" vertical="center"/>
    </xf>
    <xf numFmtId="188" fontId="29" fillId="21" borderId="61" xfId="26" applyNumberFormat="1" applyFont="1" applyFill="1" applyBorder="1" applyAlignment="1">
      <alignment horizontal="right" vertical="center"/>
    </xf>
    <xf numFmtId="188" fontId="29" fillId="21" borderId="60" xfId="26" applyNumberFormat="1" applyFont="1" applyFill="1" applyBorder="1" applyAlignment="1">
      <alignment horizontal="right" vertical="center"/>
    </xf>
    <xf numFmtId="188" fontId="29" fillId="21" borderId="59" xfId="26" applyNumberFormat="1" applyFont="1" applyFill="1" applyBorder="1" applyAlignment="1">
      <alignment horizontal="right" vertical="center"/>
    </xf>
    <xf numFmtId="0" fontId="38" fillId="0" borderId="78" xfId="26" applyFont="1" applyBorder="1" applyAlignment="1">
      <alignment vertical="center"/>
    </xf>
    <xf numFmtId="0" fontId="38" fillId="0" borderId="77" xfId="26" applyFont="1" applyBorder="1" applyAlignment="1">
      <alignment vertical="center"/>
    </xf>
    <xf numFmtId="0" fontId="38" fillId="0" borderId="76" xfId="26" applyFont="1" applyBorder="1" applyAlignment="1">
      <alignment vertical="center"/>
    </xf>
    <xf numFmtId="38" fontId="29" fillId="21" borderId="21" xfId="6" applyFont="1" applyFill="1" applyBorder="1" applyAlignment="1">
      <alignment horizontal="right" vertical="center"/>
    </xf>
    <xf numFmtId="38" fontId="29" fillId="21" borderId="3" xfId="6" applyFont="1" applyFill="1" applyBorder="1" applyAlignment="1">
      <alignment horizontal="right" vertical="center"/>
    </xf>
    <xf numFmtId="38" fontId="29" fillId="21" borderId="75" xfId="6" applyFont="1" applyFill="1" applyBorder="1" applyAlignment="1">
      <alignment horizontal="right" vertical="center"/>
    </xf>
    <xf numFmtId="0" fontId="38" fillId="0" borderId="12" xfId="26" applyFont="1" applyBorder="1" applyAlignment="1">
      <alignment vertical="center"/>
    </xf>
    <xf numFmtId="0" fontId="38" fillId="0" borderId="2" xfId="26" applyFont="1" applyBorder="1" applyAlignment="1">
      <alignment vertical="center"/>
    </xf>
    <xf numFmtId="0" fontId="38" fillId="0" borderId="10" xfId="26" applyFont="1" applyBorder="1" applyAlignment="1">
      <alignment vertical="center"/>
    </xf>
    <xf numFmtId="38" fontId="38" fillId="0" borderId="74" xfId="6" applyFont="1" applyFill="1" applyBorder="1" applyAlignment="1">
      <alignment horizontal="right" vertical="center"/>
    </xf>
    <xf numFmtId="38" fontId="38" fillId="0" borderId="13" xfId="6" applyFont="1" applyBorder="1" applyAlignment="1">
      <alignment horizontal="right" vertical="center"/>
    </xf>
    <xf numFmtId="38" fontId="38" fillId="0" borderId="23" xfId="6" applyFont="1" applyBorder="1" applyAlignment="1">
      <alignment horizontal="right" vertical="center"/>
    </xf>
    <xf numFmtId="38" fontId="38" fillId="0" borderId="72" xfId="6" applyFont="1" applyBorder="1" applyAlignment="1">
      <alignment horizontal="right" vertical="center"/>
    </xf>
    <xf numFmtId="0" fontId="44" fillId="0" borderId="66" xfId="26" applyFont="1" applyBorder="1" applyAlignment="1">
      <alignment vertical="center"/>
    </xf>
    <xf numFmtId="0" fontId="44" fillId="0" borderId="70" xfId="26" applyFont="1" applyBorder="1" applyAlignment="1">
      <alignment vertical="center"/>
    </xf>
    <xf numFmtId="0" fontId="44" fillId="0" borderId="68" xfId="26" applyFont="1" applyBorder="1" applyAlignment="1">
      <alignment vertical="center"/>
    </xf>
    <xf numFmtId="0" fontId="38" fillId="21" borderId="70" xfId="26" applyFont="1" applyFill="1" applyBorder="1" applyAlignment="1">
      <alignment vertical="center"/>
    </xf>
    <xf numFmtId="38" fontId="29" fillId="21" borderId="70" xfId="26" applyNumberFormat="1" applyFont="1" applyFill="1" applyBorder="1" applyAlignment="1">
      <alignment horizontal="right" vertical="center"/>
    </xf>
    <xf numFmtId="188" fontId="29" fillId="21" borderId="70" xfId="26" applyNumberFormat="1" applyFont="1" applyFill="1" applyBorder="1" applyAlignment="1">
      <alignment horizontal="right" vertical="center"/>
    </xf>
    <xf numFmtId="0" fontId="38" fillId="21" borderId="84" xfId="26" applyFont="1" applyFill="1" applyBorder="1" applyAlignment="1">
      <alignment vertical="center"/>
    </xf>
    <xf numFmtId="0" fontId="44" fillId="0" borderId="59" xfId="26" applyFont="1" applyBorder="1" applyAlignment="1">
      <alignment vertical="center"/>
    </xf>
    <xf numFmtId="0" fontId="44" fillId="0" borderId="63" xfId="26" applyFont="1" applyBorder="1" applyAlignment="1">
      <alignment vertical="center"/>
    </xf>
    <xf numFmtId="0" fontId="44" fillId="0" borderId="61" xfId="26" applyFont="1" applyBorder="1" applyAlignment="1">
      <alignment vertical="center"/>
    </xf>
    <xf numFmtId="0" fontId="38" fillId="21" borderId="83" xfId="26" applyFont="1" applyFill="1" applyBorder="1" applyAlignment="1">
      <alignment vertical="center"/>
    </xf>
    <xf numFmtId="0" fontId="38" fillId="21" borderId="5" xfId="26" applyFont="1" applyFill="1" applyBorder="1" applyAlignment="1">
      <alignment vertical="center"/>
    </xf>
    <xf numFmtId="38" fontId="29" fillId="21" borderId="5" xfId="26" applyNumberFormat="1" applyFont="1" applyFill="1" applyBorder="1" applyAlignment="1">
      <alignment horizontal="right" vertical="center"/>
    </xf>
    <xf numFmtId="38" fontId="29" fillId="21" borderId="64" xfId="26" applyNumberFormat="1" applyFont="1" applyFill="1" applyBorder="1" applyAlignment="1">
      <alignment horizontal="right" vertical="center"/>
    </xf>
    <xf numFmtId="188" fontId="29" fillId="21" borderId="5" xfId="26" applyNumberFormat="1" applyFont="1" applyFill="1" applyBorder="1" applyAlignment="1">
      <alignment horizontal="right" vertical="center"/>
    </xf>
    <xf numFmtId="0" fontId="38" fillId="21" borderId="82" xfId="26" applyFont="1" applyFill="1" applyBorder="1" applyAlignment="1">
      <alignment vertical="center"/>
    </xf>
    <xf numFmtId="0" fontId="38" fillId="21" borderId="63" xfId="26" applyFont="1" applyFill="1" applyBorder="1" applyAlignment="1">
      <alignment vertical="center"/>
    </xf>
    <xf numFmtId="0" fontId="44" fillId="0" borderId="59" xfId="26" applyFont="1" applyBorder="1" applyAlignment="1">
      <alignment horizontal="right" vertical="center"/>
    </xf>
    <xf numFmtId="0" fontId="44" fillId="0" borderId="63" xfId="26" applyFont="1" applyBorder="1" applyAlignment="1">
      <alignment horizontal="right" vertical="center"/>
    </xf>
    <xf numFmtId="0" fontId="44" fillId="0" borderId="61" xfId="26" applyFont="1" applyBorder="1" applyAlignment="1">
      <alignment horizontal="right" vertical="center"/>
    </xf>
    <xf numFmtId="0" fontId="38" fillId="23" borderId="59" xfId="26" applyFont="1" applyFill="1" applyBorder="1" applyAlignment="1">
      <alignment horizontal="left" vertical="center" shrinkToFit="1"/>
    </xf>
    <xf numFmtId="0" fontId="38" fillId="23" borderId="63" xfId="26" applyFont="1" applyFill="1" applyBorder="1" applyAlignment="1">
      <alignment horizontal="left" vertical="center" shrinkToFit="1"/>
    </xf>
    <xf numFmtId="0" fontId="38" fillId="23" borderId="58" xfId="26" applyFont="1" applyFill="1" applyBorder="1" applyAlignment="1">
      <alignment horizontal="left" vertical="center" shrinkToFit="1"/>
    </xf>
    <xf numFmtId="0" fontId="44" fillId="21" borderId="40" xfId="26" applyFont="1" applyFill="1" applyBorder="1" applyAlignment="1">
      <alignment vertical="center"/>
    </xf>
    <xf numFmtId="0" fontId="44" fillId="21" borderId="1" xfId="26" applyFont="1" applyFill="1" applyBorder="1" applyAlignment="1">
      <alignment vertical="center"/>
    </xf>
    <xf numFmtId="188" fontId="29" fillId="21" borderId="1" xfId="26" applyNumberFormat="1" applyFont="1" applyFill="1" applyBorder="1" applyAlignment="1">
      <alignment vertical="center"/>
    </xf>
    <xf numFmtId="38" fontId="29" fillId="21" borderId="85" xfId="26" applyNumberFormat="1" applyFont="1" applyFill="1" applyBorder="1" applyAlignment="1">
      <alignment vertical="center"/>
    </xf>
    <xf numFmtId="0" fontId="29" fillId="21" borderId="1" xfId="26" applyFont="1" applyFill="1" applyBorder="1" applyAlignment="1">
      <alignment vertical="center"/>
    </xf>
    <xf numFmtId="0" fontId="44" fillId="21" borderId="36" xfId="26" applyFont="1" applyFill="1" applyBorder="1" applyAlignment="1">
      <alignment vertical="center"/>
    </xf>
    <xf numFmtId="0" fontId="29" fillId="21" borderId="39" xfId="26" applyFont="1" applyFill="1" applyBorder="1" applyAlignment="1">
      <alignment vertical="center"/>
    </xf>
    <xf numFmtId="0" fontId="38" fillId="21" borderId="40" xfId="26" applyFont="1" applyFill="1" applyBorder="1" applyAlignment="1">
      <alignment vertical="center"/>
    </xf>
    <xf numFmtId="0" fontId="38" fillId="21" borderId="1" xfId="26" applyFont="1" applyFill="1" applyBorder="1" applyAlignment="1">
      <alignment vertical="center"/>
    </xf>
    <xf numFmtId="38" fontId="29" fillId="21" borderId="1" xfId="26" applyNumberFormat="1" applyFont="1" applyFill="1" applyBorder="1" applyAlignment="1">
      <alignment vertical="center"/>
    </xf>
    <xf numFmtId="38" fontId="29" fillId="21" borderId="37" xfId="26" applyNumberFormat="1" applyFont="1" applyFill="1" applyBorder="1" applyAlignment="1">
      <alignment vertical="center"/>
    </xf>
    <xf numFmtId="188" fontId="29" fillId="21" borderId="1" xfId="26" applyNumberFormat="1" applyFont="1" applyFill="1" applyBorder="1" applyAlignment="1">
      <alignment horizontal="right" vertical="center"/>
    </xf>
    <xf numFmtId="38" fontId="29" fillId="21" borderId="1" xfId="26" applyNumberFormat="1" applyFont="1" applyFill="1" applyBorder="1" applyAlignment="1">
      <alignment horizontal="right" vertical="center"/>
    </xf>
    <xf numFmtId="38" fontId="29" fillId="21" borderId="37" xfId="26" applyNumberFormat="1" applyFont="1" applyFill="1" applyBorder="1" applyAlignment="1">
      <alignment horizontal="right" vertical="center"/>
    </xf>
    <xf numFmtId="0" fontId="44" fillId="0" borderId="12" xfId="26" applyFont="1" applyBorder="1" applyAlignment="1">
      <alignment vertical="center"/>
    </xf>
    <xf numFmtId="0" fontId="44" fillId="0" borderId="2" xfId="26" applyFont="1" applyBorder="1" applyAlignment="1">
      <alignment vertical="center"/>
    </xf>
    <xf numFmtId="0" fontId="44" fillId="0" borderId="90" xfId="26" applyFont="1" applyBorder="1" applyAlignment="1">
      <alignment vertical="center"/>
    </xf>
    <xf numFmtId="38" fontId="29" fillId="21" borderId="2" xfId="6" applyFont="1" applyFill="1" applyBorder="1" applyAlignment="1">
      <alignment horizontal="right" vertical="center"/>
    </xf>
    <xf numFmtId="38" fontId="29" fillId="21" borderId="10" xfId="6" applyFont="1" applyFill="1" applyBorder="1" applyAlignment="1">
      <alignment horizontal="right" vertical="center"/>
    </xf>
    <xf numFmtId="38" fontId="29" fillId="21" borderId="74" xfId="6" applyFont="1" applyFill="1" applyBorder="1" applyAlignment="1">
      <alignment horizontal="right" vertical="center"/>
    </xf>
    <xf numFmtId="0" fontId="38" fillId="0" borderId="90" xfId="26" applyFont="1" applyBorder="1" applyAlignment="1">
      <alignment vertical="center"/>
    </xf>
    <xf numFmtId="0" fontId="38" fillId="0" borderId="0" xfId="26" applyFont="1" applyAlignment="1">
      <alignment vertical="center"/>
    </xf>
    <xf numFmtId="0" fontId="38" fillId="0" borderId="35" xfId="26" applyFont="1" applyBorder="1" applyAlignment="1">
      <alignment vertical="center"/>
    </xf>
    <xf numFmtId="0" fontId="38" fillId="0" borderId="24" xfId="26" applyFont="1" applyBorder="1" applyAlignment="1">
      <alignment vertical="center"/>
    </xf>
    <xf numFmtId="0" fontId="38" fillId="0" borderId="25" xfId="26" applyFont="1" applyBorder="1" applyAlignment="1">
      <alignment vertical="center"/>
    </xf>
    <xf numFmtId="0" fontId="44" fillId="0" borderId="35" xfId="26" applyFont="1" applyBorder="1" applyAlignment="1">
      <alignment vertical="center"/>
    </xf>
    <xf numFmtId="0" fontId="44" fillId="0" borderId="24" xfId="26" applyFont="1" applyBorder="1" applyAlignment="1">
      <alignment vertical="center"/>
    </xf>
    <xf numFmtId="0" fontId="44" fillId="0" borderId="47" xfId="26" applyFont="1" applyBorder="1" applyAlignment="1">
      <alignment vertical="center"/>
    </xf>
    <xf numFmtId="38" fontId="29" fillId="21" borderId="24" xfId="6" applyFont="1" applyFill="1" applyBorder="1" applyAlignment="1">
      <alignment horizontal="right" vertical="center"/>
    </xf>
    <xf numFmtId="38" fontId="29" fillId="21" borderId="25" xfId="6" applyFont="1" applyFill="1" applyBorder="1" applyAlignment="1">
      <alignment horizontal="right" vertical="center"/>
    </xf>
    <xf numFmtId="38" fontId="29" fillId="23" borderId="24" xfId="6" applyFont="1" applyFill="1" applyBorder="1" applyAlignment="1">
      <alignment horizontal="right" vertical="center"/>
    </xf>
    <xf numFmtId="38" fontId="29" fillId="23" borderId="91" xfId="6" applyFont="1" applyFill="1" applyBorder="1" applyAlignment="1">
      <alignment horizontal="right" vertical="center"/>
    </xf>
    <xf numFmtId="0" fontId="47" fillId="23" borderId="87" xfId="26" applyFont="1" applyFill="1" applyBorder="1" applyAlignment="1">
      <alignment vertical="center"/>
    </xf>
    <xf numFmtId="0" fontId="47" fillId="23" borderId="86" xfId="26" applyFont="1" applyFill="1" applyBorder="1" applyAlignment="1">
      <alignment vertical="center"/>
    </xf>
    <xf numFmtId="0" fontId="38" fillId="0" borderId="38" xfId="26" applyFont="1" applyBorder="1" applyAlignment="1">
      <alignment vertical="center"/>
    </xf>
    <xf numFmtId="0" fontId="38" fillId="0" borderId="30" xfId="26" applyFont="1" applyBorder="1" applyAlignment="1">
      <alignment vertical="center"/>
    </xf>
    <xf numFmtId="0" fontId="38" fillId="0" borderId="31" xfId="26" applyFont="1" applyBorder="1" applyAlignment="1">
      <alignment vertical="center"/>
    </xf>
    <xf numFmtId="0" fontId="44" fillId="0" borderId="38" xfId="26" applyFont="1" applyBorder="1" applyAlignment="1">
      <alignment vertical="center"/>
    </xf>
    <xf numFmtId="0" fontId="44" fillId="0" borderId="30" xfId="26" applyFont="1" applyBorder="1" applyAlignment="1">
      <alignment vertical="center"/>
    </xf>
    <xf numFmtId="0" fontId="44" fillId="0" borderId="32" xfId="26" applyFont="1" applyBorder="1" applyAlignment="1">
      <alignment vertical="center"/>
    </xf>
    <xf numFmtId="0" fontId="48" fillId="21" borderId="3" xfId="0" applyFont="1" applyFill="1" applyBorder="1" applyAlignment="1">
      <alignment horizontal="right" vertical="center"/>
    </xf>
    <xf numFmtId="0" fontId="48" fillId="21" borderId="11" xfId="0" applyFont="1" applyFill="1" applyBorder="1" applyAlignment="1">
      <alignment horizontal="right" vertical="center"/>
    </xf>
    <xf numFmtId="0" fontId="48" fillId="21" borderId="75" xfId="0" applyFont="1" applyFill="1" applyBorder="1" applyAlignment="1">
      <alignment horizontal="right" vertical="center"/>
    </xf>
    <xf numFmtId="0" fontId="44" fillId="0" borderId="10" xfId="26" applyFont="1" applyBorder="1" applyAlignment="1">
      <alignment vertical="center"/>
    </xf>
    <xf numFmtId="0" fontId="42" fillId="0" borderId="12" xfId="26" applyFont="1" applyBorder="1" applyAlignment="1">
      <alignment vertical="center"/>
    </xf>
    <xf numFmtId="0" fontId="42" fillId="0" borderId="2" xfId="26" applyFont="1" applyBorder="1" applyAlignment="1">
      <alignment vertical="center"/>
    </xf>
    <xf numFmtId="0" fontId="42" fillId="0" borderId="10" xfId="26" applyFont="1" applyBorder="1" applyAlignment="1">
      <alignment vertical="center"/>
    </xf>
    <xf numFmtId="38" fontId="29" fillId="21" borderId="12" xfId="6" applyFont="1" applyFill="1" applyBorder="1" applyAlignment="1">
      <alignment horizontal="right" vertical="center"/>
    </xf>
    <xf numFmtId="0" fontId="54" fillId="0" borderId="12" xfId="26" applyFont="1" applyBorder="1" applyAlignment="1">
      <alignment vertical="center"/>
    </xf>
    <xf numFmtId="0" fontId="54" fillId="0" borderId="2" xfId="26" applyFont="1" applyBorder="1" applyAlignment="1">
      <alignment vertical="center"/>
    </xf>
    <xf numFmtId="0" fontId="54" fillId="0" borderId="10" xfId="26" applyFont="1" applyBorder="1" applyAlignment="1">
      <alignment vertical="center"/>
    </xf>
    <xf numFmtId="0" fontId="42" fillId="0" borderId="12" xfId="26" applyFont="1" applyBorder="1" applyAlignment="1">
      <alignment vertical="center" shrinkToFit="1"/>
    </xf>
    <xf numFmtId="0" fontId="42" fillId="0" borderId="2" xfId="26" applyFont="1" applyBorder="1" applyAlignment="1">
      <alignment vertical="center" shrinkToFit="1"/>
    </xf>
    <xf numFmtId="0" fontId="42" fillId="0" borderId="10" xfId="26" applyFont="1" applyBorder="1" applyAlignment="1">
      <alignment vertical="center" shrinkToFit="1"/>
    </xf>
    <xf numFmtId="38" fontId="29" fillId="10" borderId="12" xfId="6" applyFont="1" applyFill="1" applyBorder="1" applyAlignment="1">
      <alignment horizontal="right" vertical="center"/>
    </xf>
    <xf numFmtId="0" fontId="48" fillId="10" borderId="2" xfId="0" applyFont="1" applyFill="1" applyBorder="1" applyAlignment="1">
      <alignment horizontal="right" vertical="center"/>
    </xf>
    <xf numFmtId="0" fontId="48" fillId="10" borderId="74" xfId="0" applyFont="1" applyFill="1" applyBorder="1" applyAlignment="1">
      <alignment horizontal="right" vertical="center"/>
    </xf>
    <xf numFmtId="38" fontId="29" fillId="20" borderId="2" xfId="6" applyFont="1" applyFill="1" applyBorder="1" applyAlignment="1">
      <alignment horizontal="right" vertical="center"/>
    </xf>
    <xf numFmtId="0" fontId="48" fillId="20" borderId="2" xfId="0" applyFont="1" applyFill="1" applyBorder="1" applyAlignment="1">
      <alignment horizontal="right" vertical="center"/>
    </xf>
    <xf numFmtId="0" fontId="48" fillId="20" borderId="10" xfId="0" applyFont="1" applyFill="1" applyBorder="1" applyAlignment="1">
      <alignment horizontal="right" vertical="center"/>
    </xf>
    <xf numFmtId="0" fontId="45" fillId="0" borderId="12" xfId="26" applyFont="1" applyBorder="1" applyAlignment="1">
      <alignment vertical="center"/>
    </xf>
    <xf numFmtId="0" fontId="45" fillId="0" borderId="2" xfId="26" applyFont="1" applyBorder="1" applyAlignment="1">
      <alignment vertical="center"/>
    </xf>
    <xf numFmtId="0" fontId="45" fillId="0" borderId="10" xfId="26" applyFont="1" applyBorder="1" applyAlignment="1">
      <alignment vertical="center"/>
    </xf>
    <xf numFmtId="189" fontId="38" fillId="0" borderId="0" xfId="18" applyNumberFormat="1" applyFont="1" applyBorder="1" applyAlignment="1">
      <alignment vertical="center"/>
    </xf>
    <xf numFmtId="0" fontId="44" fillId="0" borderId="12" xfId="26" applyFont="1" applyBorder="1" applyAlignment="1">
      <alignment horizontal="center" vertical="center"/>
    </xf>
    <xf numFmtId="0" fontId="44" fillId="0" borderId="2" xfId="26" applyFont="1" applyBorder="1" applyAlignment="1">
      <alignment horizontal="center" vertical="center"/>
    </xf>
    <xf numFmtId="0" fontId="44" fillId="0" borderId="2" xfId="26" applyFont="1" applyBorder="1" applyAlignment="1">
      <alignment horizontal="left" vertical="center"/>
    </xf>
    <xf numFmtId="0" fontId="44" fillId="0" borderId="10" xfId="26" applyFont="1" applyBorder="1" applyAlignment="1">
      <alignment horizontal="left" vertical="center"/>
    </xf>
    <xf numFmtId="38" fontId="29" fillId="21" borderId="36" xfId="26" applyNumberFormat="1" applyFont="1" applyFill="1" applyBorder="1" applyAlignment="1">
      <alignment horizontal="right" vertical="center"/>
    </xf>
    <xf numFmtId="38" fontId="29" fillId="21" borderId="39" xfId="26" applyNumberFormat="1" applyFont="1" applyFill="1" applyBorder="1" applyAlignment="1">
      <alignment horizontal="right" vertical="center"/>
    </xf>
    <xf numFmtId="0" fontId="38" fillId="0" borderId="78" xfId="26" applyFont="1" applyBorder="1" applyAlignment="1">
      <alignment horizontal="center" vertical="center"/>
    </xf>
    <xf numFmtId="0" fontId="38" fillId="0" borderId="77" xfId="26" applyFont="1" applyBorder="1" applyAlignment="1">
      <alignment horizontal="center" vertical="center"/>
    </xf>
    <xf numFmtId="0" fontId="38" fillId="0" borderId="76" xfId="26" applyFont="1" applyBorder="1" applyAlignment="1">
      <alignment horizontal="center" vertical="center"/>
    </xf>
    <xf numFmtId="38" fontId="29" fillId="20" borderId="2" xfId="26" applyNumberFormat="1" applyFont="1" applyFill="1" applyBorder="1" applyAlignment="1">
      <alignment vertical="center"/>
    </xf>
    <xf numFmtId="0" fontId="48" fillId="20" borderId="2" xfId="0" applyFont="1" applyFill="1" applyBorder="1" applyAlignment="1">
      <alignment vertical="center"/>
    </xf>
    <xf numFmtId="0" fontId="48" fillId="20" borderId="74" xfId="0" applyFont="1" applyFill="1" applyBorder="1" applyAlignment="1">
      <alignment vertical="center"/>
    </xf>
    <xf numFmtId="189" fontId="38" fillId="24" borderId="0" xfId="18" applyNumberFormat="1" applyFont="1" applyFill="1" applyBorder="1" applyAlignment="1">
      <alignment vertical="center"/>
    </xf>
    <xf numFmtId="0" fontId="44" fillId="0" borderId="12" xfId="26" applyFont="1" applyBorder="1" applyAlignment="1">
      <alignment horizontal="left" vertical="center"/>
    </xf>
    <xf numFmtId="38" fontId="38" fillId="0" borderId="96" xfId="6" applyFont="1" applyFill="1" applyBorder="1" applyAlignment="1">
      <alignment horizontal="right" vertical="center"/>
    </xf>
    <xf numFmtId="0" fontId="38" fillId="0" borderId="97" xfId="26" applyFont="1" applyBorder="1" applyAlignment="1">
      <alignment vertical="center"/>
    </xf>
    <xf numFmtId="0" fontId="57" fillId="0" borderId="97" xfId="26" applyFont="1" applyBorder="1" applyAlignment="1">
      <alignment vertical="center"/>
    </xf>
    <xf numFmtId="0" fontId="57" fillId="0" borderId="2" xfId="26" applyFont="1" applyBorder="1" applyAlignment="1">
      <alignment vertical="center"/>
    </xf>
    <xf numFmtId="0" fontId="57" fillId="0" borderId="10" xfId="26" applyFont="1" applyBorder="1" applyAlignment="1">
      <alignment vertical="center"/>
    </xf>
    <xf numFmtId="38" fontId="29" fillId="21" borderId="96" xfId="6" applyFont="1" applyFill="1" applyBorder="1" applyAlignment="1">
      <alignment horizontal="right" vertical="center"/>
    </xf>
    <xf numFmtId="38" fontId="29" fillId="21" borderId="59" xfId="6" applyFont="1" applyFill="1" applyBorder="1" applyAlignment="1">
      <alignment horizontal="right" vertical="center"/>
    </xf>
    <xf numFmtId="38" fontId="29" fillId="21" borderId="63" xfId="6" applyFont="1" applyFill="1" applyBorder="1" applyAlignment="1">
      <alignment horizontal="right" vertical="center"/>
    </xf>
    <xf numFmtId="38" fontId="29" fillId="21" borderId="95" xfId="6" applyFont="1" applyFill="1" applyBorder="1" applyAlignment="1">
      <alignment horizontal="right" vertical="center"/>
    </xf>
    <xf numFmtId="0" fontId="38" fillId="0" borderId="94" xfId="26" applyFont="1" applyBorder="1" applyAlignment="1">
      <alignment vertical="center" shrinkToFit="1"/>
    </xf>
    <xf numFmtId="0" fontId="0" fillId="0" borderId="63" xfId="0" applyBorder="1" applyAlignment="1">
      <alignment vertical="center" shrinkToFit="1"/>
    </xf>
    <xf numFmtId="0" fontId="0" fillId="0" borderId="61" xfId="0" applyBorder="1" applyAlignment="1">
      <alignment vertical="center" shrinkToFit="1"/>
    </xf>
    <xf numFmtId="38" fontId="29" fillId="21" borderId="58" xfId="6" applyFont="1" applyFill="1" applyBorder="1" applyAlignment="1">
      <alignment horizontal="right" vertical="center"/>
    </xf>
    <xf numFmtId="38" fontId="38" fillId="0" borderId="12" xfId="26" applyNumberFormat="1" applyFont="1" applyBorder="1" applyAlignment="1">
      <alignment vertical="center"/>
    </xf>
    <xf numFmtId="38" fontId="38" fillId="0" borderId="97" xfId="26" applyNumberFormat="1" applyFont="1" applyBorder="1" applyAlignment="1">
      <alignment vertical="center"/>
    </xf>
    <xf numFmtId="0" fontId="38" fillId="0" borderId="100" xfId="26" applyFont="1" applyBorder="1" applyAlignment="1">
      <alignment vertical="top" wrapText="1"/>
    </xf>
    <xf numFmtId="0" fontId="38" fillId="0" borderId="6" xfId="26" applyFont="1" applyBorder="1" applyAlignment="1">
      <alignment vertical="top" wrapText="1"/>
    </xf>
    <xf numFmtId="0" fontId="38" fillId="0" borderId="26" xfId="26" applyFont="1" applyBorder="1" applyAlignment="1">
      <alignment vertical="top" wrapText="1"/>
    </xf>
    <xf numFmtId="0" fontId="38" fillId="0" borderId="83" xfId="26" applyFont="1" applyBorder="1" applyAlignment="1">
      <alignment vertical="top" wrapText="1"/>
    </xf>
    <xf numFmtId="0" fontId="38" fillId="0" borderId="5" xfId="26" applyFont="1" applyBorder="1" applyAlignment="1">
      <alignment vertical="top" wrapText="1"/>
    </xf>
    <xf numFmtId="0" fontId="38" fillId="0" borderId="27" xfId="26" applyFont="1" applyBorder="1" applyAlignment="1">
      <alignment vertical="top" wrapText="1"/>
    </xf>
    <xf numFmtId="0" fontId="44" fillId="0" borderId="59" xfId="26" applyFont="1" applyBorder="1" applyAlignment="1">
      <alignment vertical="center" shrinkToFit="1"/>
    </xf>
    <xf numFmtId="0" fontId="44" fillId="0" borderId="63" xfId="26" applyFont="1" applyBorder="1" applyAlignment="1">
      <alignment vertical="center" shrinkToFit="1"/>
    </xf>
    <xf numFmtId="0" fontId="44" fillId="0" borderId="61" xfId="26" applyFont="1" applyBorder="1" applyAlignment="1">
      <alignment vertical="center" shrinkToFit="1"/>
    </xf>
    <xf numFmtId="38" fontId="29" fillId="21" borderId="59" xfId="6" applyFont="1" applyFill="1" applyBorder="1" applyAlignment="1">
      <alignment horizontal="center" vertical="center" shrinkToFit="1"/>
    </xf>
    <xf numFmtId="0" fontId="0" fillId="21" borderId="63" xfId="0" applyFill="1" applyBorder="1" applyAlignment="1">
      <alignment horizontal="center" vertical="center" shrinkToFit="1"/>
    </xf>
    <xf numFmtId="0" fontId="0" fillId="21" borderId="58" xfId="0" applyFill="1" applyBorder="1" applyAlignment="1">
      <alignment horizontal="center" vertical="center" shrinkToFit="1"/>
    </xf>
    <xf numFmtId="187" fontId="38" fillId="24" borderId="12" xfId="18" applyNumberFormat="1" applyFont="1" applyFill="1" applyBorder="1" applyAlignment="1">
      <alignment horizontal="right" vertical="center" indent="1"/>
    </xf>
    <xf numFmtId="187" fontId="38" fillId="24" borderId="2" xfId="18" applyNumberFormat="1" applyFont="1" applyFill="1" applyBorder="1" applyAlignment="1">
      <alignment horizontal="right" vertical="center" indent="1"/>
    </xf>
    <xf numFmtId="187" fontId="38" fillId="24" borderId="10" xfId="18" applyNumberFormat="1" applyFont="1" applyFill="1" applyBorder="1" applyAlignment="1">
      <alignment horizontal="right" vertical="center" indent="1"/>
    </xf>
    <xf numFmtId="0" fontId="38" fillId="0" borderId="0" xfId="26" applyFont="1" applyAlignment="1">
      <alignment horizontal="center" vertical="center" shrinkToFit="1"/>
    </xf>
    <xf numFmtId="31" fontId="38" fillId="0" borderId="0" xfId="26" applyNumberFormat="1" applyFont="1" applyAlignment="1">
      <alignment horizontal="right" vertical="center" shrinkToFit="1"/>
    </xf>
    <xf numFmtId="0" fontId="29" fillId="17" borderId="0" xfId="26" applyFont="1" applyFill="1" applyAlignment="1">
      <alignment vertical="center"/>
    </xf>
    <xf numFmtId="0" fontId="38" fillId="24" borderId="12" xfId="26" applyFont="1" applyFill="1" applyBorder="1" applyAlignment="1">
      <alignment vertical="center"/>
    </xf>
    <xf numFmtId="0" fontId="38" fillId="24" borderId="2" xfId="26" applyFont="1" applyFill="1" applyBorder="1" applyAlignment="1">
      <alignment vertical="center"/>
    </xf>
    <xf numFmtId="0" fontId="38" fillId="24" borderId="10" xfId="26" applyFont="1" applyFill="1" applyBorder="1" applyAlignment="1">
      <alignment vertical="center"/>
    </xf>
    <xf numFmtId="0" fontId="44" fillId="0" borderId="66" xfId="26" applyFont="1" applyBorder="1" applyAlignment="1">
      <alignment vertical="center" shrinkToFit="1"/>
    </xf>
    <xf numFmtId="0" fontId="44" fillId="0" borderId="70" xfId="26" applyFont="1" applyBorder="1" applyAlignment="1">
      <alignment vertical="center" shrinkToFit="1"/>
    </xf>
    <xf numFmtId="0" fontId="44" fillId="0" borderId="68" xfId="26" applyFont="1" applyBorder="1" applyAlignment="1">
      <alignment vertical="center" shrinkToFit="1"/>
    </xf>
    <xf numFmtId="0" fontId="38" fillId="0" borderId="66" xfId="26" applyFont="1" applyBorder="1" applyAlignment="1">
      <alignment vertical="center" shrinkToFit="1"/>
    </xf>
    <xf numFmtId="0" fontId="38" fillId="0" borderId="70" xfId="26" applyFont="1" applyBorder="1" applyAlignment="1">
      <alignment vertical="center" shrinkToFit="1"/>
    </xf>
    <xf numFmtId="0" fontId="38" fillId="0" borderId="65" xfId="26" applyFont="1" applyBorder="1" applyAlignment="1">
      <alignment vertical="center" shrinkToFit="1"/>
    </xf>
    <xf numFmtId="187" fontId="38" fillId="0" borderId="2" xfId="18" applyNumberFormat="1" applyFont="1" applyFill="1" applyBorder="1" applyAlignment="1">
      <alignment horizontal="right" vertical="center" indent="1"/>
    </xf>
    <xf numFmtId="187" fontId="38" fillId="0" borderId="10" xfId="18" applyNumberFormat="1" applyFont="1" applyFill="1" applyBorder="1" applyAlignment="1">
      <alignment horizontal="right" vertical="center" indent="1"/>
    </xf>
    <xf numFmtId="38" fontId="38" fillId="25" borderId="12" xfId="16" applyFont="1" applyFill="1" applyBorder="1" applyAlignment="1">
      <alignment horizontal="center" vertical="center" shrinkToFit="1"/>
    </xf>
    <xf numFmtId="0" fontId="9" fillId="25" borderId="2" xfId="28" applyFill="1" applyBorder="1" applyAlignment="1">
      <alignment horizontal="center" vertical="center" shrinkToFit="1"/>
    </xf>
    <xf numFmtId="0" fontId="9" fillId="25" borderId="2" xfId="28" applyFill="1" applyBorder="1" applyAlignment="1">
      <alignment vertical="center" shrinkToFit="1"/>
    </xf>
    <xf numFmtId="0" fontId="9" fillId="25" borderId="10" xfId="28" applyFill="1" applyBorder="1" applyAlignment="1">
      <alignment vertical="center" shrinkToFit="1"/>
    </xf>
    <xf numFmtId="0" fontId="38" fillId="0" borderId="12" xfId="26" applyFont="1" applyBorder="1" applyAlignment="1">
      <alignment vertical="center" shrinkToFit="1"/>
    </xf>
    <xf numFmtId="0" fontId="38" fillId="0" borderId="2" xfId="26" applyFont="1" applyBorder="1" applyAlignment="1">
      <alignment vertical="center" shrinkToFit="1"/>
    </xf>
    <xf numFmtId="0" fontId="38" fillId="0" borderId="74" xfId="26" applyFont="1" applyBorder="1" applyAlignment="1">
      <alignment vertical="center" shrinkToFit="1"/>
    </xf>
    <xf numFmtId="187" fontId="38" fillId="24" borderId="22" xfId="18" applyNumberFormat="1" applyFont="1" applyFill="1" applyBorder="1" applyAlignment="1">
      <alignment horizontal="right" vertical="center" indent="1"/>
    </xf>
    <xf numFmtId="187" fontId="38" fillId="24" borderId="0" xfId="18" applyNumberFormat="1" applyFont="1" applyFill="1" applyBorder="1" applyAlignment="1">
      <alignment horizontal="right" vertical="center" indent="1"/>
    </xf>
    <xf numFmtId="187" fontId="38" fillId="24" borderId="18" xfId="18" applyNumberFormat="1" applyFont="1" applyFill="1" applyBorder="1" applyAlignment="1">
      <alignment horizontal="right" vertical="center" indent="1"/>
    </xf>
    <xf numFmtId="31" fontId="38" fillId="0" borderId="12" xfId="26" applyNumberFormat="1" applyFont="1" applyBorder="1" applyAlignment="1">
      <alignment horizontal="center" vertical="center" shrinkToFit="1"/>
    </xf>
    <xf numFmtId="0" fontId="38" fillId="0" borderId="2" xfId="26" applyFont="1" applyBorder="1" applyAlignment="1">
      <alignment horizontal="center" vertical="center" shrinkToFit="1"/>
    </xf>
    <xf numFmtId="31" fontId="38" fillId="0" borderId="2" xfId="26" applyNumberFormat="1" applyFont="1" applyBorder="1" applyAlignment="1">
      <alignment horizontal="center" vertical="center" shrinkToFit="1"/>
    </xf>
    <xf numFmtId="0" fontId="38" fillId="0" borderId="10" xfId="26" applyFont="1" applyBorder="1" applyAlignment="1">
      <alignment horizontal="center" vertical="center" shrinkToFit="1"/>
    </xf>
    <xf numFmtId="0" fontId="38" fillId="0" borderId="10" xfId="26" applyFont="1" applyBorder="1" applyAlignment="1">
      <alignment vertical="center" shrinkToFit="1"/>
    </xf>
    <xf numFmtId="0" fontId="38" fillId="0" borderId="12" xfId="26" applyFont="1" applyBorder="1" applyAlignment="1">
      <alignment horizontal="left" vertical="center"/>
    </xf>
    <xf numFmtId="0" fontId="38" fillId="0" borderId="2" xfId="26" applyFont="1" applyBorder="1" applyAlignment="1">
      <alignment horizontal="left" vertical="center"/>
    </xf>
    <xf numFmtId="0" fontId="38" fillId="0" borderId="10" xfId="26" applyFont="1" applyBorder="1" applyAlignment="1">
      <alignment horizontal="left" vertical="center"/>
    </xf>
    <xf numFmtId="38" fontId="38" fillId="0" borderId="12" xfId="26" applyNumberFormat="1" applyFont="1" applyBorder="1" applyAlignment="1">
      <alignment horizontal="right" vertical="center"/>
    </xf>
  </cellXfs>
  <cellStyles count="36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oft Excel]_x000d__x000a_Comment=open=/f を指定すると、ユーザー定義関数を関数貼り付けの一覧に登録することができます。_x000d__x000a_Maximized" xfId="9" xr:uid="{00000000-0005-0000-0000-000004000000}"/>
    <cellStyle name="s]_x000d__x000a_spooler=yes_x000d__x000a_load=B:\MS\SMS\bin\smsrun16.exe_x000d__x000a_run=_x000d__x000a_Beep=No_x000d__x000a_NullPort=None_x000d__x000a_BorderWidth=3_x000d__x000a_CursorBlinkRate=313_x000d__x000a_Dou" xfId="14" xr:uid="{00000000-0005-0000-0000-000005000000}"/>
    <cellStyle name="subhead" xfId="5" xr:uid="{00000000-0005-0000-0000-000006000000}"/>
    <cellStyle name="タイトル２" xfId="10" xr:uid="{00000000-0005-0000-0000-000007000000}"/>
    <cellStyle name="パーセント 2" xfId="13" xr:uid="{00000000-0005-0000-0000-000008000000}"/>
    <cellStyle name="パーセント 3" xfId="18" xr:uid="{00000000-0005-0000-0000-000009000000}"/>
    <cellStyle name="桁区切り" xfId="6" builtinId="6"/>
    <cellStyle name="桁区切り 2" xfId="16" xr:uid="{00000000-0005-0000-0000-00000B000000}"/>
    <cellStyle name="桁区切り 2 2" xfId="34" xr:uid="{A925266B-063F-450E-84F3-3A6CB2885579}"/>
    <cellStyle name="桁区切り 3" xfId="30" xr:uid="{B3AEFDFE-A7D7-47F1-BFD8-CA0ADE2B6B16}"/>
    <cellStyle name="桁区切り 3 2" xfId="33" xr:uid="{95A166D0-6879-4F7F-96AD-D78FCBEFB102}"/>
    <cellStyle name="桁区切り 4" xfId="32" xr:uid="{C27996F2-4D74-4D9A-A4DB-FBF6EADAE816}"/>
    <cellStyle name="見出し" xfId="11" xr:uid="{00000000-0005-0000-0000-00000C000000}"/>
    <cellStyle name="通貨 [0*00]_ICU-Manual_laroux_1" xfId="12" xr:uid="{00000000-0005-0000-0000-00000D000000}"/>
    <cellStyle name="通貨 2" xfId="29" xr:uid="{00000000-0005-0000-0000-00000E000000}"/>
    <cellStyle name="標準" xfId="0" builtinId="0"/>
    <cellStyle name="標準 2" xfId="7" xr:uid="{00000000-0005-0000-0000-000010000000}"/>
    <cellStyle name="標準 2 2" xfId="19" xr:uid="{00000000-0005-0000-0000-000011000000}"/>
    <cellStyle name="標準 2 3" xfId="20" xr:uid="{00000000-0005-0000-0000-000012000000}"/>
    <cellStyle name="標準 2 4" xfId="24" xr:uid="{00000000-0005-0000-0000-000013000000}"/>
    <cellStyle name="標準 2 5" xfId="28" xr:uid="{00000000-0005-0000-0000-000014000000}"/>
    <cellStyle name="標準 3" xfId="8" xr:uid="{00000000-0005-0000-0000-000015000000}"/>
    <cellStyle name="標準 4" xfId="15" xr:uid="{00000000-0005-0000-0000-000016000000}"/>
    <cellStyle name="標準 4 2" xfId="21" xr:uid="{00000000-0005-0000-0000-000017000000}"/>
    <cellStyle name="標準 4 3" xfId="22" xr:uid="{00000000-0005-0000-0000-000018000000}"/>
    <cellStyle name="標準 4 4" xfId="25" xr:uid="{00000000-0005-0000-0000-000019000000}"/>
    <cellStyle name="標準 5" xfId="17" xr:uid="{00000000-0005-0000-0000-00001A000000}"/>
    <cellStyle name="標準 6" xfId="23" xr:uid="{00000000-0005-0000-0000-00001B000000}"/>
    <cellStyle name="標準 6 2" xfId="35" xr:uid="{F204B441-F9A7-4C06-AE7B-DBA95E5115F7}"/>
    <cellStyle name="標準 7" xfId="31" xr:uid="{2A8695B5-8373-4DBB-975E-A57A0DD2D49F}"/>
    <cellStyle name="標準_雑実行ﾌｫｰﾏｯﾄ" xfId="26" xr:uid="{00000000-0005-0000-0000-00001F000000}"/>
    <cellStyle name="良い" xfId="27" builtinId="26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66FFFF"/>
      <color rgb="FFCCFFCC"/>
      <color rgb="FFCCFFFF"/>
      <color rgb="FFFFCCFF"/>
      <color rgb="FFFF66CC"/>
      <color rgb="FF9966FF"/>
      <color rgb="FFFFCCCC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DA24" lockText="1" noThreeD="1"/>
</file>

<file path=xl/ctrlProps/ctrlProp2.xml><?xml version="1.0" encoding="utf-8"?>
<formControlPr xmlns="http://schemas.microsoft.com/office/spreadsheetml/2009/9/main" objectType="CheckBox" fmlaLink="$DA$25" lockText="1" noThreeD="1"/>
</file>

<file path=xl/ctrlProps/ctrlProp3.xml><?xml version="1.0" encoding="utf-8"?>
<formControlPr xmlns="http://schemas.microsoft.com/office/spreadsheetml/2009/9/main" objectType="CheckBox" fmlaLink="$DA$26" lockText="1" noThreeD="1"/>
</file>

<file path=xl/ctrlProps/ctrlProp4.xml><?xml version="1.0" encoding="utf-8"?>
<formControlPr xmlns="http://schemas.microsoft.com/office/spreadsheetml/2009/9/main" objectType="CheckBox" fmlaLink="$DA$27" lockText="1" noThreeD="1"/>
</file>

<file path=xl/ctrlProps/ctrlProp5.xml><?xml version="1.0" encoding="utf-8"?>
<formControlPr xmlns="http://schemas.microsoft.com/office/spreadsheetml/2009/9/main" objectType="CheckBox" fmlaLink="$DA$28" lockText="1" noThreeD="1"/>
</file>

<file path=xl/ctrlProps/ctrlProp6.xml><?xml version="1.0" encoding="utf-8"?>
<formControlPr xmlns="http://schemas.microsoft.com/office/spreadsheetml/2009/9/main" objectType="CheckBox" fmlaLink="$DA$29" lockText="1" noThreeD="1"/>
</file>

<file path=xl/ctrlProps/ctrlProp7.xml><?xml version="1.0" encoding="utf-8"?>
<formControlPr xmlns="http://schemas.microsoft.com/office/spreadsheetml/2009/9/main" objectType="CheckBox" fmlaLink="$DA$30" lockText="1" noThreeD="1"/>
</file>

<file path=xl/ctrlProps/ctrlProp8.xml><?xml version="1.0" encoding="utf-8"?>
<formControlPr xmlns="http://schemas.microsoft.com/office/spreadsheetml/2009/9/main" objectType="CheckBox" fmlaLink="$DA$31" lockText="1" noThreeD="1"/>
</file>

<file path=xl/ctrlProps/ctrlProp9.xml><?xml version="1.0" encoding="utf-8"?>
<formControlPr xmlns="http://schemas.microsoft.com/office/spreadsheetml/2009/9/main" objectType="CheckBox" fmlaLink="$DA$32" lockText="1" noThreeD="1"/>
</file>

<file path=xl/ctrlProps/ctrlProp10.xml><?xml version="1.0" encoding="utf-8"?>
<formControlPr xmlns="http://schemas.microsoft.com/office/spreadsheetml/2009/9/main" objectType="CheckBox" fmlaLink="$DA$33" lockText="1" noThreeD="1"/>
</file>

<file path=xl/ctrlProps/ctrlProp11.xml><?xml version="1.0" encoding="utf-8"?>
<formControlPr xmlns="http://schemas.microsoft.com/office/spreadsheetml/2009/9/main" objectType="CheckBox" fmlaLink="$DA$34" lockText="1" noThreeD="1"/>
</file>

<file path=xl/ctrlProps/ctrlProp12.xml><?xml version="1.0" encoding="utf-8"?>
<formControlPr xmlns="http://schemas.microsoft.com/office/spreadsheetml/2009/9/main" objectType="CheckBox" fmlaLink="$DA$35" lockText="1" noThreeD="1"/>
</file>

<file path=xl/ctrlProps/ctrlProp13.xml><?xml version="1.0" encoding="utf-8"?>
<formControlPr xmlns="http://schemas.microsoft.com/office/spreadsheetml/2009/9/main" objectType="CheckBox" fmlaLink="$DA$36" lockText="1" noThreeD="1"/>
</file>

<file path=xl/ctrlProps/ctrlProp14.xml><?xml version="1.0" encoding="utf-8"?>
<formControlPr xmlns="http://schemas.microsoft.com/office/spreadsheetml/2009/9/main" objectType="CheckBox" fmlaLink="DA24" lockText="1" noThreeD="1"/>
</file>

<file path=xl/ctrlProps/ctrlProp15.xml><?xml version="1.0" encoding="utf-8"?>
<formControlPr xmlns="http://schemas.microsoft.com/office/spreadsheetml/2009/9/main" objectType="CheckBox" fmlaLink="$DA$25" lockText="1" noThreeD="1"/>
</file>

<file path=xl/ctrlProps/ctrlProp16.xml><?xml version="1.0" encoding="utf-8"?>
<formControlPr xmlns="http://schemas.microsoft.com/office/spreadsheetml/2009/9/main" objectType="CheckBox" fmlaLink="$DA$26" lockText="1" noThreeD="1"/>
</file>

<file path=xl/ctrlProps/ctrlProp17.xml><?xml version="1.0" encoding="utf-8"?>
<formControlPr xmlns="http://schemas.microsoft.com/office/spreadsheetml/2009/9/main" objectType="CheckBox" fmlaLink="$DA$27" lockText="1" noThreeD="1"/>
</file>

<file path=xl/ctrlProps/ctrlProp18.xml><?xml version="1.0" encoding="utf-8"?>
<formControlPr xmlns="http://schemas.microsoft.com/office/spreadsheetml/2009/9/main" objectType="CheckBox" fmlaLink="$DA$28" lockText="1" noThreeD="1"/>
</file>

<file path=xl/ctrlProps/ctrlProp19.xml><?xml version="1.0" encoding="utf-8"?>
<formControlPr xmlns="http://schemas.microsoft.com/office/spreadsheetml/2009/9/main" objectType="CheckBox" fmlaLink="$DA$29" lockText="1" noThreeD="1"/>
</file>

<file path=xl/ctrlProps/ctrlProp20.xml><?xml version="1.0" encoding="utf-8"?>
<formControlPr xmlns="http://schemas.microsoft.com/office/spreadsheetml/2009/9/main" objectType="CheckBox" fmlaLink="$DA$30" lockText="1" noThreeD="1"/>
</file>

<file path=xl/ctrlProps/ctrlProp21.xml><?xml version="1.0" encoding="utf-8"?>
<formControlPr xmlns="http://schemas.microsoft.com/office/spreadsheetml/2009/9/main" objectType="CheckBox" fmlaLink="$DA$31" lockText="1" noThreeD="1"/>
</file>

<file path=xl/ctrlProps/ctrlProp22.xml><?xml version="1.0" encoding="utf-8"?>
<formControlPr xmlns="http://schemas.microsoft.com/office/spreadsheetml/2009/9/main" objectType="CheckBox" fmlaLink="$DA$32" lockText="1" noThreeD="1"/>
</file>

<file path=xl/ctrlProps/ctrlProp23.xml><?xml version="1.0" encoding="utf-8"?>
<formControlPr xmlns="http://schemas.microsoft.com/office/spreadsheetml/2009/9/main" objectType="CheckBox" fmlaLink="$DA$33" lockText="1" noThreeD="1"/>
</file>

<file path=xl/ctrlProps/ctrlProp24.xml><?xml version="1.0" encoding="utf-8"?>
<formControlPr xmlns="http://schemas.microsoft.com/office/spreadsheetml/2009/9/main" objectType="CheckBox" fmlaLink="$DA$34" lockText="1" noThreeD="1"/>
</file>

<file path=xl/ctrlProps/ctrlProp25.xml><?xml version="1.0" encoding="utf-8"?>
<formControlPr xmlns="http://schemas.microsoft.com/office/spreadsheetml/2009/9/main" objectType="CheckBox" fmlaLink="$DA$35" lockText="1" noThreeD="1"/>
</file>

<file path=xl/ctrlProps/ctrlProp26.xml><?xml version="1.0" encoding="utf-8"?>
<formControlPr xmlns="http://schemas.microsoft.com/office/spreadsheetml/2009/9/main" objectType="CheckBox" fmlaLink="$DA$36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19050</xdr:colOff>
      <xdr:row>21</xdr:row>
      <xdr:rowOff>200025</xdr:rowOff>
    </xdr:from>
    <xdr:to>
      <xdr:col>57</xdr:col>
      <xdr:colOff>47625</xdr:colOff>
      <xdr:row>22</xdr:row>
      <xdr:rowOff>76200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20B70D86-98A8-437D-8D53-2EEE188EBC9A}"/>
            </a:ext>
          </a:extLst>
        </xdr:cNvPr>
        <xdr:cNvCxnSpPr/>
      </xdr:nvCxnSpPr>
      <xdr:spPr bwMode="auto">
        <a:xfrm flipH="1">
          <a:off x="7025640" y="4773930"/>
          <a:ext cx="300990" cy="1600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23</xdr:row>
          <xdr:rowOff>28575</xdr:rowOff>
        </xdr:from>
        <xdr:to>
          <xdr:col>56</xdr:col>
          <xdr:colOff>57150</xdr:colOff>
          <xdr:row>24</xdr:row>
          <xdr:rowOff>19050</xdr:rowOff>
        </xdr:to>
        <xdr:sp macro="" textlink="">
          <xdr:nvSpPr>
            <xdr:cNvPr id="37889" name="Check Box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01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24</xdr:row>
          <xdr:rowOff>28575</xdr:rowOff>
        </xdr:from>
        <xdr:to>
          <xdr:col>56</xdr:col>
          <xdr:colOff>57150</xdr:colOff>
          <xdr:row>25</xdr:row>
          <xdr:rowOff>19050</xdr:rowOff>
        </xdr:to>
        <xdr:sp macro="" textlink="">
          <xdr:nvSpPr>
            <xdr:cNvPr id="37890" name="Check Box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1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25</xdr:row>
          <xdr:rowOff>28575</xdr:rowOff>
        </xdr:from>
        <xdr:to>
          <xdr:col>56</xdr:col>
          <xdr:colOff>57150</xdr:colOff>
          <xdr:row>26</xdr:row>
          <xdr:rowOff>19050</xdr:rowOff>
        </xdr:to>
        <xdr:sp macro="" textlink="">
          <xdr:nvSpPr>
            <xdr:cNvPr id="37891" name="Check Box 3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01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26</xdr:row>
          <xdr:rowOff>28575</xdr:rowOff>
        </xdr:from>
        <xdr:to>
          <xdr:col>56</xdr:col>
          <xdr:colOff>57150</xdr:colOff>
          <xdr:row>27</xdr:row>
          <xdr:rowOff>19050</xdr:rowOff>
        </xdr:to>
        <xdr:sp macro="" textlink="">
          <xdr:nvSpPr>
            <xdr:cNvPr id="37892" name="Check Box 4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1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27</xdr:row>
          <xdr:rowOff>28575</xdr:rowOff>
        </xdr:from>
        <xdr:to>
          <xdr:col>56</xdr:col>
          <xdr:colOff>57150</xdr:colOff>
          <xdr:row>28</xdr:row>
          <xdr:rowOff>19050</xdr:rowOff>
        </xdr:to>
        <xdr:sp macro="" textlink="">
          <xdr:nvSpPr>
            <xdr:cNvPr id="37893" name="Check Box 5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01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28</xdr:row>
          <xdr:rowOff>28575</xdr:rowOff>
        </xdr:from>
        <xdr:to>
          <xdr:col>56</xdr:col>
          <xdr:colOff>57150</xdr:colOff>
          <xdr:row>29</xdr:row>
          <xdr:rowOff>19050</xdr:rowOff>
        </xdr:to>
        <xdr:sp macro="" textlink="">
          <xdr:nvSpPr>
            <xdr:cNvPr id="37894" name="Check Box 6" hidden="1">
              <a:extLst>
                <a:ext uri="{63B3BB69-23CF-44E3-9099-C40C66FF867C}">
                  <a14:compatExt spid="_x0000_s37894"/>
                </a:ext>
                <a:ext uri="{FF2B5EF4-FFF2-40B4-BE49-F238E27FC236}">
                  <a16:creationId xmlns:a16="http://schemas.microsoft.com/office/drawing/2014/main" id="{00000000-0008-0000-0100-000006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29</xdr:row>
          <xdr:rowOff>28575</xdr:rowOff>
        </xdr:from>
        <xdr:to>
          <xdr:col>56</xdr:col>
          <xdr:colOff>57150</xdr:colOff>
          <xdr:row>30</xdr:row>
          <xdr:rowOff>19050</xdr:rowOff>
        </xdr:to>
        <xdr:sp macro="" textlink="">
          <xdr:nvSpPr>
            <xdr:cNvPr id="37895" name="Check Box 7" hidden="1">
              <a:extLst>
                <a:ext uri="{63B3BB69-23CF-44E3-9099-C40C66FF867C}">
                  <a14:compatExt spid="_x0000_s37895"/>
                </a:ext>
                <a:ext uri="{FF2B5EF4-FFF2-40B4-BE49-F238E27FC236}">
                  <a16:creationId xmlns:a16="http://schemas.microsoft.com/office/drawing/2014/main" id="{00000000-0008-0000-0100-000007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30</xdr:row>
          <xdr:rowOff>28575</xdr:rowOff>
        </xdr:from>
        <xdr:to>
          <xdr:col>56</xdr:col>
          <xdr:colOff>57150</xdr:colOff>
          <xdr:row>31</xdr:row>
          <xdr:rowOff>19050</xdr:rowOff>
        </xdr:to>
        <xdr:sp macro="" textlink="">
          <xdr:nvSpPr>
            <xdr:cNvPr id="37896" name="Check Box 8" hidden="1">
              <a:extLst>
                <a:ext uri="{63B3BB69-23CF-44E3-9099-C40C66FF867C}">
                  <a14:compatExt spid="_x0000_s37896"/>
                </a:ext>
                <a:ext uri="{FF2B5EF4-FFF2-40B4-BE49-F238E27FC236}">
                  <a16:creationId xmlns:a16="http://schemas.microsoft.com/office/drawing/2014/main" id="{00000000-0008-0000-0100-000008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31</xdr:row>
          <xdr:rowOff>28575</xdr:rowOff>
        </xdr:from>
        <xdr:to>
          <xdr:col>56</xdr:col>
          <xdr:colOff>57150</xdr:colOff>
          <xdr:row>32</xdr:row>
          <xdr:rowOff>19050</xdr:rowOff>
        </xdr:to>
        <xdr:sp macro="" textlink="">
          <xdr:nvSpPr>
            <xdr:cNvPr id="37897" name="Check Box 9" hidden="1">
              <a:extLst>
                <a:ext uri="{63B3BB69-23CF-44E3-9099-C40C66FF867C}">
                  <a14:compatExt spid="_x0000_s37897"/>
                </a:ext>
                <a:ext uri="{FF2B5EF4-FFF2-40B4-BE49-F238E27FC236}">
                  <a16:creationId xmlns:a16="http://schemas.microsoft.com/office/drawing/2014/main" id="{00000000-0008-0000-0100-000009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32</xdr:row>
          <xdr:rowOff>28575</xdr:rowOff>
        </xdr:from>
        <xdr:to>
          <xdr:col>56</xdr:col>
          <xdr:colOff>57150</xdr:colOff>
          <xdr:row>33</xdr:row>
          <xdr:rowOff>19050</xdr:rowOff>
        </xdr:to>
        <xdr:sp macro="" textlink="">
          <xdr:nvSpPr>
            <xdr:cNvPr id="37898" name="Check Box 10" hidden="1">
              <a:extLst>
                <a:ext uri="{63B3BB69-23CF-44E3-9099-C40C66FF867C}">
                  <a14:compatExt spid="_x0000_s37898"/>
                </a:ext>
                <a:ext uri="{FF2B5EF4-FFF2-40B4-BE49-F238E27FC236}">
                  <a16:creationId xmlns:a16="http://schemas.microsoft.com/office/drawing/2014/main" id="{00000000-0008-0000-0100-00000A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33</xdr:row>
          <xdr:rowOff>28575</xdr:rowOff>
        </xdr:from>
        <xdr:to>
          <xdr:col>56</xdr:col>
          <xdr:colOff>57150</xdr:colOff>
          <xdr:row>34</xdr:row>
          <xdr:rowOff>19050</xdr:rowOff>
        </xdr:to>
        <xdr:sp macro="" textlink="">
          <xdr:nvSpPr>
            <xdr:cNvPr id="37899" name="Check Box 11" hidden="1">
              <a:extLst>
                <a:ext uri="{63B3BB69-23CF-44E3-9099-C40C66FF867C}">
                  <a14:compatExt spid="_x0000_s37899"/>
                </a:ext>
                <a:ext uri="{FF2B5EF4-FFF2-40B4-BE49-F238E27FC236}">
                  <a16:creationId xmlns:a16="http://schemas.microsoft.com/office/drawing/2014/main" id="{00000000-0008-0000-0100-00000B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34</xdr:row>
          <xdr:rowOff>28575</xdr:rowOff>
        </xdr:from>
        <xdr:to>
          <xdr:col>56</xdr:col>
          <xdr:colOff>57150</xdr:colOff>
          <xdr:row>35</xdr:row>
          <xdr:rowOff>19050</xdr:rowOff>
        </xdr:to>
        <xdr:sp macro="" textlink="">
          <xdr:nvSpPr>
            <xdr:cNvPr id="37900" name="Check Box 12" hidden="1">
              <a:extLst>
                <a:ext uri="{63B3BB69-23CF-44E3-9099-C40C66FF867C}">
                  <a14:compatExt spid="_x0000_s37900"/>
                </a:ext>
                <a:ext uri="{FF2B5EF4-FFF2-40B4-BE49-F238E27FC236}">
                  <a16:creationId xmlns:a16="http://schemas.microsoft.com/office/drawing/2014/main" id="{00000000-0008-0000-0100-00000C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19050</xdr:colOff>
          <xdr:row>35</xdr:row>
          <xdr:rowOff>28575</xdr:rowOff>
        </xdr:from>
        <xdr:to>
          <xdr:col>56</xdr:col>
          <xdr:colOff>57150</xdr:colOff>
          <xdr:row>36</xdr:row>
          <xdr:rowOff>19050</xdr:rowOff>
        </xdr:to>
        <xdr:sp macro="" textlink="">
          <xdr:nvSpPr>
            <xdr:cNvPr id="37901" name="Check Box 13" hidden="1">
              <a:extLst>
                <a:ext uri="{63B3BB69-23CF-44E3-9099-C40C66FF867C}">
                  <a14:compatExt spid="_x0000_s37901"/>
                </a:ext>
                <a:ext uri="{FF2B5EF4-FFF2-40B4-BE49-F238E27FC236}">
                  <a16:creationId xmlns:a16="http://schemas.microsoft.com/office/drawing/2014/main" id="{00000000-0008-0000-0100-00000D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57150</xdr:colOff>
      <xdr:row>21</xdr:row>
      <xdr:rowOff>0</xdr:rowOff>
    </xdr:from>
    <xdr:to>
      <xdr:col>14</xdr:col>
      <xdr:colOff>76200</xdr:colOff>
      <xdr:row>22</xdr:row>
      <xdr:rowOff>9526</xdr:rowOff>
    </xdr:to>
    <xdr:sp macro="" textlink="">
      <xdr:nvSpPr>
        <xdr:cNvPr id="3" name="円/楕円 18">
          <a:extLst>
            <a:ext uri="{FF2B5EF4-FFF2-40B4-BE49-F238E27FC236}">
              <a16:creationId xmlns:a16="http://schemas.microsoft.com/office/drawing/2014/main" id="{6B8AC87F-725E-4EFD-9C9A-FF55AC6DB587}"/>
            </a:ext>
          </a:extLst>
        </xdr:cNvPr>
        <xdr:cNvSpPr/>
      </xdr:nvSpPr>
      <xdr:spPr bwMode="auto">
        <a:xfrm>
          <a:off x="1196340" y="4572000"/>
          <a:ext cx="365760" cy="297181"/>
        </a:xfrm>
        <a:prstGeom prst="ellipse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47625</xdr:colOff>
      <xdr:row>21</xdr:row>
      <xdr:rowOff>6048</xdr:rowOff>
    </xdr:from>
    <xdr:to>
      <xdr:col>22</xdr:col>
      <xdr:colOff>66675</xdr:colOff>
      <xdr:row>21</xdr:row>
      <xdr:rowOff>276226</xdr:rowOff>
    </xdr:to>
    <xdr:sp macro="" textlink="">
      <xdr:nvSpPr>
        <xdr:cNvPr id="4" name="円/楕円 19">
          <a:extLst>
            <a:ext uri="{FF2B5EF4-FFF2-40B4-BE49-F238E27FC236}">
              <a16:creationId xmlns:a16="http://schemas.microsoft.com/office/drawing/2014/main" id="{58311CDC-B119-4AEB-9E10-4B61BB5220D1}"/>
            </a:ext>
          </a:extLst>
        </xdr:cNvPr>
        <xdr:cNvSpPr/>
      </xdr:nvSpPr>
      <xdr:spPr bwMode="auto">
        <a:xfrm>
          <a:off x="2106930" y="4579953"/>
          <a:ext cx="358140" cy="270178"/>
        </a:xfrm>
        <a:prstGeom prst="ellipse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66675</xdr:colOff>
      <xdr:row>21</xdr:row>
      <xdr:rowOff>9525</xdr:rowOff>
    </xdr:from>
    <xdr:to>
      <xdr:col>29</xdr:col>
      <xdr:colOff>85725</xdr:colOff>
      <xdr:row>22</xdr:row>
      <xdr:rowOff>19051</xdr:rowOff>
    </xdr:to>
    <xdr:sp macro="" textlink="">
      <xdr:nvSpPr>
        <xdr:cNvPr id="5" name="円/楕円 20">
          <a:extLst>
            <a:ext uri="{FF2B5EF4-FFF2-40B4-BE49-F238E27FC236}">
              <a16:creationId xmlns:a16="http://schemas.microsoft.com/office/drawing/2014/main" id="{A9ECD123-0E13-40E5-914F-41D2AE62551D}"/>
            </a:ext>
          </a:extLst>
        </xdr:cNvPr>
        <xdr:cNvSpPr/>
      </xdr:nvSpPr>
      <xdr:spPr bwMode="auto">
        <a:xfrm>
          <a:off x="2922270" y="4583430"/>
          <a:ext cx="365760" cy="289561"/>
        </a:xfrm>
        <a:prstGeom prst="ellipse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23</xdr:row>
          <xdr:rowOff>28575</xdr:rowOff>
        </xdr:from>
        <xdr:to>
          <xdr:col>127</xdr:col>
          <xdr:colOff>0</xdr:colOff>
          <xdr:row>24</xdr:row>
          <xdr:rowOff>19050</xdr:rowOff>
        </xdr:to>
        <xdr:sp macro="" textlink="">
          <xdr:nvSpPr>
            <xdr:cNvPr id="37902" name="Check Box 14" hidden="1">
              <a:extLst>
                <a:ext uri="{63B3BB69-23CF-44E3-9099-C40C66FF867C}">
                  <a14:compatExt spid="_x0000_s37902"/>
                </a:ext>
                <a:ext uri="{FF2B5EF4-FFF2-40B4-BE49-F238E27FC236}">
                  <a16:creationId xmlns:a16="http://schemas.microsoft.com/office/drawing/2014/main" id="{00000000-0008-0000-0100-00000E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24</xdr:row>
          <xdr:rowOff>28575</xdr:rowOff>
        </xdr:from>
        <xdr:to>
          <xdr:col>127</xdr:col>
          <xdr:colOff>0</xdr:colOff>
          <xdr:row>25</xdr:row>
          <xdr:rowOff>19050</xdr:rowOff>
        </xdr:to>
        <xdr:sp macro="" textlink="">
          <xdr:nvSpPr>
            <xdr:cNvPr id="37903" name="Check Box 15" hidden="1">
              <a:extLst>
                <a:ext uri="{63B3BB69-23CF-44E3-9099-C40C66FF867C}">
                  <a14:compatExt spid="_x0000_s37903"/>
                </a:ext>
                <a:ext uri="{FF2B5EF4-FFF2-40B4-BE49-F238E27FC236}">
                  <a16:creationId xmlns:a16="http://schemas.microsoft.com/office/drawing/2014/main" id="{00000000-0008-0000-0100-00000F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25</xdr:row>
          <xdr:rowOff>28575</xdr:rowOff>
        </xdr:from>
        <xdr:to>
          <xdr:col>127</xdr:col>
          <xdr:colOff>0</xdr:colOff>
          <xdr:row>26</xdr:row>
          <xdr:rowOff>19050</xdr:rowOff>
        </xdr:to>
        <xdr:sp macro="" textlink="">
          <xdr:nvSpPr>
            <xdr:cNvPr id="37904" name="Check Box 16" hidden="1">
              <a:extLst>
                <a:ext uri="{63B3BB69-23CF-44E3-9099-C40C66FF867C}">
                  <a14:compatExt spid="_x0000_s37904"/>
                </a:ext>
                <a:ext uri="{FF2B5EF4-FFF2-40B4-BE49-F238E27FC236}">
                  <a16:creationId xmlns:a16="http://schemas.microsoft.com/office/drawing/2014/main" id="{00000000-0008-0000-0100-000010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26</xdr:row>
          <xdr:rowOff>28575</xdr:rowOff>
        </xdr:from>
        <xdr:to>
          <xdr:col>127</xdr:col>
          <xdr:colOff>0</xdr:colOff>
          <xdr:row>27</xdr:row>
          <xdr:rowOff>19050</xdr:rowOff>
        </xdr:to>
        <xdr:sp macro="" textlink="">
          <xdr:nvSpPr>
            <xdr:cNvPr id="37905" name="Check Box 17" hidden="1">
              <a:extLst>
                <a:ext uri="{63B3BB69-23CF-44E3-9099-C40C66FF867C}">
                  <a14:compatExt spid="_x0000_s37905"/>
                </a:ext>
                <a:ext uri="{FF2B5EF4-FFF2-40B4-BE49-F238E27FC236}">
                  <a16:creationId xmlns:a16="http://schemas.microsoft.com/office/drawing/2014/main" id="{00000000-0008-0000-0100-00001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27</xdr:row>
          <xdr:rowOff>28575</xdr:rowOff>
        </xdr:from>
        <xdr:to>
          <xdr:col>127</xdr:col>
          <xdr:colOff>0</xdr:colOff>
          <xdr:row>28</xdr:row>
          <xdr:rowOff>19050</xdr:rowOff>
        </xdr:to>
        <xdr:sp macro="" textlink="">
          <xdr:nvSpPr>
            <xdr:cNvPr id="37906" name="Check Box 18" hidden="1">
              <a:extLst>
                <a:ext uri="{63B3BB69-23CF-44E3-9099-C40C66FF867C}">
                  <a14:compatExt spid="_x0000_s37906"/>
                </a:ext>
                <a:ext uri="{FF2B5EF4-FFF2-40B4-BE49-F238E27FC236}">
                  <a16:creationId xmlns:a16="http://schemas.microsoft.com/office/drawing/2014/main" id="{00000000-0008-0000-0100-00001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28</xdr:row>
          <xdr:rowOff>28575</xdr:rowOff>
        </xdr:from>
        <xdr:to>
          <xdr:col>127</xdr:col>
          <xdr:colOff>0</xdr:colOff>
          <xdr:row>29</xdr:row>
          <xdr:rowOff>19050</xdr:rowOff>
        </xdr:to>
        <xdr:sp macro="" textlink="">
          <xdr:nvSpPr>
            <xdr:cNvPr id="37907" name="Check Box 19" hidden="1">
              <a:extLst>
                <a:ext uri="{63B3BB69-23CF-44E3-9099-C40C66FF867C}">
                  <a14:compatExt spid="_x0000_s37907"/>
                </a:ext>
                <a:ext uri="{FF2B5EF4-FFF2-40B4-BE49-F238E27FC236}">
                  <a16:creationId xmlns:a16="http://schemas.microsoft.com/office/drawing/2014/main" id="{00000000-0008-0000-0100-00001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29</xdr:row>
          <xdr:rowOff>28575</xdr:rowOff>
        </xdr:from>
        <xdr:to>
          <xdr:col>127</xdr:col>
          <xdr:colOff>0</xdr:colOff>
          <xdr:row>30</xdr:row>
          <xdr:rowOff>19050</xdr:rowOff>
        </xdr:to>
        <xdr:sp macro="" textlink="">
          <xdr:nvSpPr>
            <xdr:cNvPr id="37908" name="Check Box 20" hidden="1">
              <a:extLst>
                <a:ext uri="{63B3BB69-23CF-44E3-9099-C40C66FF867C}">
                  <a14:compatExt spid="_x0000_s37908"/>
                </a:ext>
                <a:ext uri="{FF2B5EF4-FFF2-40B4-BE49-F238E27FC236}">
                  <a16:creationId xmlns:a16="http://schemas.microsoft.com/office/drawing/2014/main" id="{00000000-0008-0000-0100-00001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30</xdr:row>
          <xdr:rowOff>28575</xdr:rowOff>
        </xdr:from>
        <xdr:to>
          <xdr:col>127</xdr:col>
          <xdr:colOff>0</xdr:colOff>
          <xdr:row>31</xdr:row>
          <xdr:rowOff>19050</xdr:rowOff>
        </xdr:to>
        <xdr:sp macro="" textlink="">
          <xdr:nvSpPr>
            <xdr:cNvPr id="37909" name="Check Box 21" hidden="1">
              <a:extLst>
                <a:ext uri="{63B3BB69-23CF-44E3-9099-C40C66FF867C}">
                  <a14:compatExt spid="_x0000_s37909"/>
                </a:ext>
                <a:ext uri="{FF2B5EF4-FFF2-40B4-BE49-F238E27FC236}">
                  <a16:creationId xmlns:a16="http://schemas.microsoft.com/office/drawing/2014/main" id="{00000000-0008-0000-0100-00001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31</xdr:row>
          <xdr:rowOff>28575</xdr:rowOff>
        </xdr:from>
        <xdr:to>
          <xdr:col>127</xdr:col>
          <xdr:colOff>0</xdr:colOff>
          <xdr:row>32</xdr:row>
          <xdr:rowOff>19050</xdr:rowOff>
        </xdr:to>
        <xdr:sp macro="" textlink="">
          <xdr:nvSpPr>
            <xdr:cNvPr id="37910" name="Check Box 22" hidden="1">
              <a:extLst>
                <a:ext uri="{63B3BB69-23CF-44E3-9099-C40C66FF867C}">
                  <a14:compatExt spid="_x0000_s37910"/>
                </a:ext>
                <a:ext uri="{FF2B5EF4-FFF2-40B4-BE49-F238E27FC236}">
                  <a16:creationId xmlns:a16="http://schemas.microsoft.com/office/drawing/2014/main" id="{00000000-0008-0000-0100-000016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32</xdr:row>
          <xdr:rowOff>28575</xdr:rowOff>
        </xdr:from>
        <xdr:to>
          <xdr:col>127</xdr:col>
          <xdr:colOff>0</xdr:colOff>
          <xdr:row>33</xdr:row>
          <xdr:rowOff>19050</xdr:rowOff>
        </xdr:to>
        <xdr:sp macro="" textlink="">
          <xdr:nvSpPr>
            <xdr:cNvPr id="37911" name="Check Box 23" hidden="1">
              <a:extLst>
                <a:ext uri="{63B3BB69-23CF-44E3-9099-C40C66FF867C}">
                  <a14:compatExt spid="_x0000_s37911"/>
                </a:ext>
                <a:ext uri="{FF2B5EF4-FFF2-40B4-BE49-F238E27FC236}">
                  <a16:creationId xmlns:a16="http://schemas.microsoft.com/office/drawing/2014/main" id="{00000000-0008-0000-0100-000017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33</xdr:row>
          <xdr:rowOff>28575</xdr:rowOff>
        </xdr:from>
        <xdr:to>
          <xdr:col>127</xdr:col>
          <xdr:colOff>0</xdr:colOff>
          <xdr:row>34</xdr:row>
          <xdr:rowOff>19050</xdr:rowOff>
        </xdr:to>
        <xdr:sp macro="" textlink="">
          <xdr:nvSpPr>
            <xdr:cNvPr id="37912" name="Check Box 24" hidden="1">
              <a:extLst>
                <a:ext uri="{63B3BB69-23CF-44E3-9099-C40C66FF867C}">
                  <a14:compatExt spid="_x0000_s37912"/>
                </a:ext>
                <a:ext uri="{FF2B5EF4-FFF2-40B4-BE49-F238E27FC236}">
                  <a16:creationId xmlns:a16="http://schemas.microsoft.com/office/drawing/2014/main" id="{00000000-0008-0000-0100-000018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34</xdr:row>
          <xdr:rowOff>28575</xdr:rowOff>
        </xdr:from>
        <xdr:to>
          <xdr:col>127</xdr:col>
          <xdr:colOff>0</xdr:colOff>
          <xdr:row>35</xdr:row>
          <xdr:rowOff>19050</xdr:rowOff>
        </xdr:to>
        <xdr:sp macro="" textlink="">
          <xdr:nvSpPr>
            <xdr:cNvPr id="37913" name="Check Box 25" hidden="1">
              <a:extLst>
                <a:ext uri="{63B3BB69-23CF-44E3-9099-C40C66FF867C}">
                  <a14:compatExt spid="_x0000_s37913"/>
                </a:ext>
                <a:ext uri="{FF2B5EF4-FFF2-40B4-BE49-F238E27FC236}">
                  <a16:creationId xmlns:a16="http://schemas.microsoft.com/office/drawing/2014/main" id="{00000000-0008-0000-0100-000019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</xdr:col>
          <xdr:colOff>19050</xdr:colOff>
          <xdr:row>35</xdr:row>
          <xdr:rowOff>28575</xdr:rowOff>
        </xdr:from>
        <xdr:to>
          <xdr:col>127</xdr:col>
          <xdr:colOff>0</xdr:colOff>
          <xdr:row>36</xdr:row>
          <xdr:rowOff>19050</xdr:rowOff>
        </xdr:to>
        <xdr:sp macro="" textlink="">
          <xdr:nvSpPr>
            <xdr:cNvPr id="37914" name="Check Box 26" hidden="1">
              <a:extLst>
                <a:ext uri="{63B3BB69-23CF-44E3-9099-C40C66FF867C}">
                  <a14:compatExt spid="_x0000_s37914"/>
                </a:ext>
                <a:ext uri="{FF2B5EF4-FFF2-40B4-BE49-F238E27FC236}">
                  <a16:creationId xmlns:a16="http://schemas.microsoft.com/office/drawing/2014/main" id="{00000000-0008-0000-0100-00001A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9525</xdr:colOff>
      <xdr:row>58</xdr:row>
      <xdr:rowOff>57150</xdr:rowOff>
    </xdr:from>
    <xdr:to>
      <xdr:col>48</xdr:col>
      <xdr:colOff>142875</xdr:colOff>
      <xdr:row>61</xdr:row>
      <xdr:rowOff>95250</xdr:rowOff>
    </xdr:to>
    <xdr:sp macro="" textlink="">
      <xdr:nvSpPr>
        <xdr:cNvPr id="2" name="Freeform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32927925" y="6743700"/>
          <a:ext cx="133350" cy="552450"/>
        </a:xfrm>
        <a:custGeom>
          <a:avLst/>
          <a:gdLst>
            <a:gd name="T0" fmla="*/ 1270158750 w 14"/>
            <a:gd name="T1" fmla="*/ 0 h 61"/>
            <a:gd name="T2" fmla="*/ 1270158750 w 14"/>
            <a:gd name="T3" fmla="*/ 2147483647 h 61"/>
            <a:gd name="T4" fmla="*/ 0 w 14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" h="61">
              <a:moveTo>
                <a:pt x="14" y="0"/>
              </a:moveTo>
              <a:lnTo>
                <a:pt x="14" y="61"/>
              </a:lnTo>
              <a:lnTo>
                <a:pt x="0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48</xdr:col>
      <xdr:colOff>9525</xdr:colOff>
      <xdr:row>58</xdr:row>
      <xdr:rowOff>57150</xdr:rowOff>
    </xdr:from>
    <xdr:to>
      <xdr:col>48</xdr:col>
      <xdr:colOff>142875</xdr:colOff>
      <xdr:row>61</xdr:row>
      <xdr:rowOff>95250</xdr:rowOff>
    </xdr:to>
    <xdr:sp macro="" textlink="">
      <xdr:nvSpPr>
        <xdr:cNvPr id="3" name="Freeform 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32927925" y="6743700"/>
          <a:ext cx="133350" cy="552450"/>
        </a:xfrm>
        <a:custGeom>
          <a:avLst/>
          <a:gdLst>
            <a:gd name="T0" fmla="*/ 1270158750 w 14"/>
            <a:gd name="T1" fmla="*/ 0 h 61"/>
            <a:gd name="T2" fmla="*/ 1270158750 w 14"/>
            <a:gd name="T3" fmla="*/ 2147483647 h 61"/>
            <a:gd name="T4" fmla="*/ 0 w 14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" h="61">
              <a:moveTo>
                <a:pt x="14" y="0"/>
              </a:moveTo>
              <a:lnTo>
                <a:pt x="14" y="61"/>
              </a:lnTo>
              <a:lnTo>
                <a:pt x="0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31309;&#31639;\&#65329;&#65315;&#65316;&#65331;\&#12381;&#12398;&#20182;\WINDOWS\&#65411;&#65438;&#65405;&#65400;&#65412;&#65391;&#65420;&#65439;\&#29992;&#36884;&#21029;&#65420;&#65383;&#65394;&#65433;\&#27161;&#28310;&#24037;&#2639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標準工期"/>
    </sheetNames>
    <definedNames>
      <definedName name="RC造"/>
      <definedName name="S造"/>
      <definedName name="その他"/>
      <definedName name="教育施設"/>
      <definedName name="工場"/>
      <definedName name="事務所"/>
      <definedName name="庁舎"/>
      <definedName name="店舗"/>
      <definedName name="文化施設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C06F-184C-4ECC-A94A-B0EA87766D7D}">
  <sheetPr>
    <tabColor rgb="FFFF0000"/>
  </sheetPr>
  <dimension ref="A1:FX82"/>
  <sheetViews>
    <sheetView showGridLines="0" showZeros="0" view="pageBreakPreview" zoomScaleNormal="100" zoomScaleSheetLayoutView="100" workbookViewId="0">
      <selection activeCell="Q37" sqref="Q37:AG37"/>
    </sheetView>
  </sheetViews>
  <sheetFormatPr defaultColWidth="9" defaultRowHeight="13.5"/>
  <cols>
    <col min="1" max="1" width="1.625" style="8" customWidth="1"/>
    <col min="2" max="2" width="0.875" style="8" customWidth="1"/>
    <col min="3" max="10" width="1.625" style="8" customWidth="1"/>
    <col min="11" max="11" width="0.875" style="8" customWidth="1"/>
    <col min="12" max="32" width="1.625" style="8" customWidth="1"/>
    <col min="33" max="35" width="0.875" style="8" customWidth="1"/>
    <col min="36" max="43" width="2.75" style="8" customWidth="1"/>
    <col min="44" max="48" width="2.25" style="8" customWidth="1"/>
    <col min="49" max="49" width="1.875" style="8" customWidth="1"/>
    <col min="50" max="54" width="2.25" style="8" customWidth="1"/>
    <col min="55" max="55" width="1.625" style="8" customWidth="1"/>
    <col min="56" max="103" width="1.875" style="8" customWidth="1"/>
    <col min="104" max="104" width="1.625" style="8" customWidth="1"/>
    <col min="105" max="105" width="9.375" style="8" hidden="1" customWidth="1"/>
    <col min="106" max="106" width="1.625" style="8" customWidth="1"/>
    <col min="107" max="114" width="2.75" style="8" customWidth="1"/>
    <col min="115" max="119" width="2.25" style="8" customWidth="1"/>
    <col min="120" max="120" width="2" style="8" customWidth="1"/>
    <col min="121" max="127" width="2.25" style="8" customWidth="1"/>
    <col min="128" max="173" width="2" style="8" customWidth="1"/>
    <col min="174" max="244" width="1.625" style="8" customWidth="1"/>
    <col min="245" max="16384" width="9" style="8"/>
  </cols>
  <sheetData>
    <row r="1" spans="1:124">
      <c r="BA1" s="324"/>
      <c r="BB1" s="324"/>
      <c r="BC1" s="324"/>
      <c r="BD1" s="324"/>
      <c r="BE1" s="324"/>
      <c r="CI1" s="13"/>
      <c r="CJ1" s="2"/>
      <c r="CK1" s="2"/>
      <c r="CL1" s="2"/>
      <c r="CM1" s="2"/>
      <c r="CN1" s="2"/>
      <c r="CO1" s="2"/>
      <c r="CP1" s="2"/>
      <c r="CQ1" s="14"/>
      <c r="CY1" s="15" t="s">
        <v>241</v>
      </c>
    </row>
    <row r="2" spans="1:124" ht="5.0999999999999996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379"/>
      <c r="BQ2" s="389"/>
      <c r="BR2" s="389"/>
      <c r="BS2" s="389"/>
      <c r="BT2" s="389"/>
      <c r="BU2" s="389"/>
      <c r="BV2" s="383" t="s">
        <v>229</v>
      </c>
      <c r="BW2" s="383"/>
      <c r="BX2" s="383"/>
      <c r="BY2" s="383"/>
      <c r="BZ2" s="383"/>
      <c r="CA2" s="383"/>
      <c r="CB2" s="377" t="s">
        <v>230</v>
      </c>
      <c r="CC2" s="378"/>
      <c r="CD2" s="378"/>
      <c r="CE2" s="378"/>
      <c r="CF2" s="378"/>
      <c r="CG2" s="379"/>
      <c r="CH2" s="377" t="s">
        <v>231</v>
      </c>
      <c r="CI2" s="378"/>
      <c r="CJ2" s="378"/>
      <c r="CK2" s="378"/>
      <c r="CL2" s="378"/>
      <c r="CM2" s="379"/>
      <c r="CN2" s="377" t="s">
        <v>43</v>
      </c>
      <c r="CO2" s="378"/>
      <c r="CP2" s="378"/>
      <c r="CQ2" s="378"/>
      <c r="CR2" s="378"/>
      <c r="CS2" s="378"/>
      <c r="CT2" s="378"/>
      <c r="CU2" s="378"/>
      <c r="CV2" s="378"/>
      <c r="CW2" s="378"/>
      <c r="CX2" s="378"/>
      <c r="CY2" s="379"/>
    </row>
    <row r="3" spans="1:124" ht="18" customHeight="1">
      <c r="A3" s="19"/>
      <c r="C3" s="468" t="s">
        <v>242</v>
      </c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I3" s="20"/>
      <c r="AJ3" s="461" t="s">
        <v>75</v>
      </c>
      <c r="AK3" s="461"/>
      <c r="AL3" s="8" t="s">
        <v>18</v>
      </c>
      <c r="AO3" s="8" t="s">
        <v>19</v>
      </c>
      <c r="AW3" s="462">
        <v>2026</v>
      </c>
      <c r="AX3" s="463"/>
      <c r="AY3" s="463"/>
      <c r="AZ3" s="463"/>
      <c r="BA3" s="463"/>
      <c r="BB3" s="464"/>
      <c r="BC3" s="438" t="s">
        <v>20</v>
      </c>
      <c r="BD3" s="271"/>
      <c r="BE3" s="425">
        <v>1</v>
      </c>
      <c r="BF3" s="426"/>
      <c r="BG3" s="438" t="s">
        <v>21</v>
      </c>
      <c r="BH3" s="271"/>
      <c r="BI3" s="425">
        <v>22</v>
      </c>
      <c r="BJ3" s="426"/>
      <c r="BK3" s="438" t="s">
        <v>32</v>
      </c>
      <c r="BL3" s="439"/>
      <c r="BM3" s="2" t="s">
        <v>39</v>
      </c>
      <c r="BN3" s="2"/>
      <c r="BO3" s="2"/>
      <c r="BP3" s="385"/>
      <c r="BQ3" s="386"/>
      <c r="BR3" s="386"/>
      <c r="BS3" s="386"/>
      <c r="BT3" s="386"/>
      <c r="BU3" s="386"/>
      <c r="BV3" s="383"/>
      <c r="BW3" s="383"/>
      <c r="BX3" s="383"/>
      <c r="BY3" s="383"/>
      <c r="BZ3" s="383"/>
      <c r="CA3" s="383"/>
      <c r="CB3" s="380"/>
      <c r="CC3" s="381"/>
      <c r="CD3" s="381"/>
      <c r="CE3" s="381"/>
      <c r="CF3" s="381"/>
      <c r="CG3" s="382"/>
      <c r="CH3" s="380"/>
      <c r="CI3" s="381"/>
      <c r="CJ3" s="381"/>
      <c r="CK3" s="381"/>
      <c r="CL3" s="381"/>
      <c r="CM3" s="382"/>
      <c r="CN3" s="380"/>
      <c r="CO3" s="381"/>
      <c r="CP3" s="381"/>
      <c r="CQ3" s="381"/>
      <c r="CR3" s="381"/>
      <c r="CS3" s="381"/>
      <c r="CT3" s="381"/>
      <c r="CU3" s="381"/>
      <c r="CV3" s="381"/>
      <c r="CW3" s="381"/>
      <c r="CX3" s="381"/>
      <c r="CY3" s="382"/>
      <c r="DB3" s="8" t="s">
        <v>0</v>
      </c>
    </row>
    <row r="4" spans="1:124" s="2" customFormat="1" ht="3" customHeight="1">
      <c r="A4" s="21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8"/>
      <c r="AI4" s="20"/>
      <c r="AJ4" s="22"/>
      <c r="AK4" s="22"/>
      <c r="AW4" s="13"/>
      <c r="AX4" s="13"/>
      <c r="AY4" s="13"/>
      <c r="BH4" s="13"/>
      <c r="BM4" s="13"/>
      <c r="BP4" s="385"/>
      <c r="BQ4" s="386"/>
      <c r="BR4" s="386"/>
      <c r="BS4" s="386"/>
      <c r="BT4" s="386"/>
      <c r="BU4" s="386"/>
      <c r="BV4" s="383"/>
      <c r="BW4" s="383"/>
      <c r="BX4" s="383"/>
      <c r="BY4" s="383"/>
      <c r="BZ4" s="383"/>
      <c r="CA4" s="383"/>
      <c r="CB4" s="383"/>
      <c r="CC4" s="383"/>
      <c r="CD4" s="383"/>
      <c r="CE4" s="383"/>
      <c r="CF4" s="383"/>
      <c r="CG4" s="383"/>
      <c r="CH4" s="383"/>
      <c r="CI4" s="383"/>
      <c r="CJ4" s="383"/>
      <c r="CK4" s="383"/>
      <c r="CL4" s="383"/>
      <c r="CM4" s="383"/>
      <c r="CN4" s="377"/>
      <c r="CO4" s="378"/>
      <c r="CP4" s="378"/>
      <c r="CQ4" s="378"/>
      <c r="CR4" s="378"/>
      <c r="CS4" s="379"/>
      <c r="CT4" s="377"/>
      <c r="CU4" s="378"/>
      <c r="CV4" s="378"/>
      <c r="CW4" s="378"/>
      <c r="CX4" s="378"/>
      <c r="CY4" s="379"/>
    </row>
    <row r="5" spans="1:124" ht="18" customHeight="1">
      <c r="A5" s="19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I5" s="20"/>
      <c r="AJ5" s="1"/>
      <c r="AK5" s="1"/>
      <c r="AO5" s="8" t="s">
        <v>22</v>
      </c>
      <c r="AW5" s="441" t="e">
        <f>#REF!</f>
        <v>#REF!</v>
      </c>
      <c r="AX5" s="442"/>
      <c r="AY5" s="442"/>
      <c r="AZ5" s="442"/>
      <c r="BA5" s="442"/>
      <c r="BB5" s="442"/>
      <c r="BC5" s="442"/>
      <c r="BD5" s="442"/>
      <c r="BE5" s="443"/>
      <c r="BH5" s="8" t="s">
        <v>255</v>
      </c>
      <c r="BP5" s="385"/>
      <c r="BQ5" s="386"/>
      <c r="BR5" s="386"/>
      <c r="BS5" s="386"/>
      <c r="BT5" s="386"/>
      <c r="BU5" s="386"/>
      <c r="BV5" s="383"/>
      <c r="BW5" s="383"/>
      <c r="BX5" s="383"/>
      <c r="BY5" s="383"/>
      <c r="BZ5" s="383"/>
      <c r="CA5" s="383"/>
      <c r="CB5" s="383"/>
      <c r="CC5" s="383"/>
      <c r="CD5" s="383"/>
      <c r="CE5" s="383"/>
      <c r="CF5" s="383"/>
      <c r="CG5" s="383"/>
      <c r="CH5" s="383"/>
      <c r="CI5" s="383"/>
      <c r="CJ5" s="383"/>
      <c r="CK5" s="383"/>
      <c r="CL5" s="383"/>
      <c r="CM5" s="383"/>
      <c r="CN5" s="384"/>
      <c r="CO5" s="271"/>
      <c r="CP5" s="271"/>
      <c r="CQ5" s="271"/>
      <c r="CR5" s="271"/>
      <c r="CS5" s="385"/>
      <c r="CT5" s="384"/>
      <c r="CU5" s="271"/>
      <c r="CV5" s="271"/>
      <c r="CW5" s="271"/>
      <c r="CX5" s="271"/>
      <c r="CY5" s="385"/>
      <c r="DB5" s="271">
        <v>26</v>
      </c>
      <c r="DC5" s="271"/>
      <c r="DD5" s="8" t="s">
        <v>257</v>
      </c>
      <c r="DE5" s="271">
        <v>1</v>
      </c>
      <c r="DF5" s="271"/>
      <c r="DG5" s="8" t="s">
        <v>257</v>
      </c>
      <c r="DH5" s="272" t="s">
        <v>258</v>
      </c>
      <c r="DI5" s="271"/>
    </row>
    <row r="6" spans="1:124" s="2" customFormat="1" ht="3" customHeight="1">
      <c r="A6" s="21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94" t="e">
        <f>'工事台帳  (記入例)'!X21:AG213</f>
        <v>#VALUE!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20"/>
      <c r="AJ6" s="22"/>
      <c r="AK6" s="22"/>
      <c r="AW6" s="23"/>
      <c r="AX6" s="23"/>
      <c r="AY6" s="23"/>
      <c r="AZ6" s="23"/>
      <c r="BA6" s="23"/>
      <c r="BB6" s="23"/>
      <c r="BC6" s="23"/>
      <c r="BD6" s="23"/>
      <c r="BE6" s="23"/>
      <c r="BF6" s="23"/>
      <c r="BP6" s="385"/>
      <c r="BQ6" s="386"/>
      <c r="BR6" s="386"/>
      <c r="BS6" s="386"/>
      <c r="BT6" s="386"/>
      <c r="BU6" s="386"/>
      <c r="BV6" s="383"/>
      <c r="BW6" s="383"/>
      <c r="BX6" s="383"/>
      <c r="BY6" s="383"/>
      <c r="BZ6" s="383"/>
      <c r="CA6" s="383"/>
      <c r="CB6" s="383"/>
      <c r="CC6" s="383"/>
      <c r="CD6" s="383"/>
      <c r="CE6" s="383"/>
      <c r="CF6" s="383"/>
      <c r="CG6" s="383"/>
      <c r="CH6" s="383"/>
      <c r="CI6" s="383"/>
      <c r="CJ6" s="383"/>
      <c r="CK6" s="383"/>
      <c r="CL6" s="383"/>
      <c r="CM6" s="383"/>
      <c r="CN6" s="384"/>
      <c r="CO6" s="271"/>
      <c r="CP6" s="271"/>
      <c r="CQ6" s="271"/>
      <c r="CR6" s="271"/>
      <c r="CS6" s="385"/>
      <c r="CT6" s="384"/>
      <c r="CU6" s="271"/>
      <c r="CV6" s="271"/>
      <c r="CW6" s="271"/>
      <c r="CX6" s="271"/>
      <c r="CY6" s="385"/>
    </row>
    <row r="7" spans="1:124" ht="18" customHeight="1">
      <c r="A7" s="19"/>
      <c r="B7" s="493" t="s">
        <v>65</v>
      </c>
      <c r="C7" s="494"/>
      <c r="D7" s="494"/>
      <c r="E7" s="494"/>
      <c r="F7" s="494"/>
      <c r="G7" s="494"/>
      <c r="H7" s="494"/>
      <c r="I7" s="494"/>
      <c r="J7" s="494"/>
      <c r="K7" s="495"/>
      <c r="AI7" s="20"/>
      <c r="AJ7" s="461" t="str">
        <f>IF(AJ3="■","□","■")</f>
        <v>□</v>
      </c>
      <c r="AK7" s="461"/>
      <c r="AL7" s="8" t="s">
        <v>23</v>
      </c>
      <c r="AO7" s="8" t="s">
        <v>19</v>
      </c>
      <c r="AW7" s="462"/>
      <c r="AX7" s="463"/>
      <c r="AY7" s="463"/>
      <c r="AZ7" s="463"/>
      <c r="BA7" s="463"/>
      <c r="BB7" s="464"/>
      <c r="BC7" s="438" t="s">
        <v>20</v>
      </c>
      <c r="BD7" s="271"/>
      <c r="BE7" s="425"/>
      <c r="BF7" s="426"/>
      <c r="BG7" s="438" t="s">
        <v>21</v>
      </c>
      <c r="BH7" s="271"/>
      <c r="BI7" s="425"/>
      <c r="BJ7" s="426"/>
      <c r="BK7" s="438" t="s">
        <v>32</v>
      </c>
      <c r="BL7" s="439"/>
      <c r="BM7" s="2" t="s">
        <v>39</v>
      </c>
      <c r="BN7" s="2"/>
      <c r="BP7" s="385"/>
      <c r="BQ7" s="386"/>
      <c r="BR7" s="386"/>
      <c r="BS7" s="386"/>
      <c r="BT7" s="386"/>
      <c r="BU7" s="386"/>
      <c r="BV7" s="383"/>
      <c r="BW7" s="383"/>
      <c r="BX7" s="383"/>
      <c r="BY7" s="383"/>
      <c r="BZ7" s="383"/>
      <c r="CA7" s="383"/>
      <c r="CB7" s="383"/>
      <c r="CC7" s="383"/>
      <c r="CD7" s="383"/>
      <c r="CE7" s="383"/>
      <c r="CF7" s="383"/>
      <c r="CG7" s="383"/>
      <c r="CH7" s="383"/>
      <c r="CI7" s="383"/>
      <c r="CJ7" s="383"/>
      <c r="CK7" s="383"/>
      <c r="CL7" s="383"/>
      <c r="CM7" s="383"/>
      <c r="CN7" s="384"/>
      <c r="CO7" s="271"/>
      <c r="CP7" s="271"/>
      <c r="CQ7" s="271"/>
      <c r="CR7" s="271"/>
      <c r="CS7" s="385"/>
      <c r="CT7" s="384"/>
      <c r="CU7" s="271"/>
      <c r="CV7" s="271"/>
      <c r="CW7" s="271"/>
      <c r="CX7" s="271"/>
      <c r="CY7" s="385"/>
      <c r="DB7" s="273" t="s">
        <v>259</v>
      </c>
      <c r="DC7" s="273"/>
      <c r="DE7" s="273" t="s">
        <v>260</v>
      </c>
      <c r="DF7" s="273"/>
      <c r="DH7" s="273" t="s">
        <v>261</v>
      </c>
      <c r="DI7" s="273"/>
    </row>
    <row r="8" spans="1:124" ht="3" customHeight="1">
      <c r="A8" s="19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0"/>
      <c r="AG8" s="20"/>
      <c r="AH8" s="20"/>
      <c r="AI8" s="20"/>
      <c r="AV8" s="2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"/>
      <c r="BH8" s="2"/>
      <c r="BP8" s="385"/>
      <c r="BQ8" s="386"/>
      <c r="BR8" s="386"/>
      <c r="BS8" s="386"/>
      <c r="BT8" s="386"/>
      <c r="BU8" s="386"/>
      <c r="BV8" s="383"/>
      <c r="BW8" s="383"/>
      <c r="BX8" s="383"/>
      <c r="BY8" s="383"/>
      <c r="BZ8" s="383"/>
      <c r="CA8" s="383"/>
      <c r="CB8" s="383"/>
      <c r="CC8" s="383"/>
      <c r="CD8" s="383"/>
      <c r="CE8" s="383"/>
      <c r="CF8" s="383"/>
      <c r="CG8" s="383"/>
      <c r="CH8" s="383"/>
      <c r="CI8" s="383"/>
      <c r="CJ8" s="383"/>
      <c r="CK8" s="383"/>
      <c r="CL8" s="383"/>
      <c r="CM8" s="383"/>
      <c r="CN8" s="384"/>
      <c r="CO8" s="271"/>
      <c r="CP8" s="271"/>
      <c r="CQ8" s="271"/>
      <c r="CR8" s="271"/>
      <c r="CS8" s="385"/>
      <c r="CT8" s="384"/>
      <c r="CU8" s="271"/>
      <c r="CV8" s="271"/>
      <c r="CW8" s="271"/>
      <c r="CX8" s="271"/>
      <c r="CY8" s="385"/>
      <c r="DB8" s="273"/>
      <c r="DC8" s="273"/>
      <c r="DE8" s="273"/>
      <c r="DF8" s="273"/>
      <c r="DH8" s="273"/>
      <c r="DI8" s="273"/>
    </row>
    <row r="9" spans="1:124" ht="18" customHeight="1">
      <c r="A9" s="19"/>
      <c r="B9" s="16"/>
      <c r="C9" s="511" t="s">
        <v>46</v>
      </c>
      <c r="D9" s="511"/>
      <c r="E9" s="511"/>
      <c r="F9" s="511"/>
      <c r="G9" s="511"/>
      <c r="H9" s="511"/>
      <c r="I9" s="511"/>
      <c r="J9" s="511"/>
      <c r="K9" s="25"/>
      <c r="L9" s="521" t="str">
        <f>BH5</f>
        <v>26-APアミ①</v>
      </c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2"/>
      <c r="X9" s="522"/>
      <c r="Y9" s="522"/>
      <c r="Z9" s="522"/>
      <c r="AA9" s="522"/>
      <c r="AB9" s="522"/>
      <c r="AC9" s="522"/>
      <c r="AD9" s="522"/>
      <c r="AE9" s="522"/>
      <c r="AF9" s="522"/>
      <c r="AG9" s="523"/>
      <c r="AH9" s="26"/>
      <c r="AI9" s="20"/>
      <c r="AJ9" s="324"/>
      <c r="AK9" s="324"/>
      <c r="AO9" s="8" t="s">
        <v>24</v>
      </c>
      <c r="AW9" s="441"/>
      <c r="AX9" s="442"/>
      <c r="AY9" s="442"/>
      <c r="AZ9" s="442"/>
      <c r="BA9" s="442"/>
      <c r="BB9" s="442"/>
      <c r="BC9" s="442"/>
      <c r="BD9" s="442"/>
      <c r="BE9" s="443"/>
      <c r="BG9" s="8" t="s">
        <v>47</v>
      </c>
      <c r="BP9" s="385"/>
      <c r="BQ9" s="386"/>
      <c r="BR9" s="386"/>
      <c r="BS9" s="386"/>
      <c r="BT9" s="386"/>
      <c r="BU9" s="386"/>
      <c r="BV9" s="383"/>
      <c r="BW9" s="383"/>
      <c r="BX9" s="383"/>
      <c r="BY9" s="383"/>
      <c r="BZ9" s="383"/>
      <c r="CA9" s="383"/>
      <c r="CB9" s="383"/>
      <c r="CC9" s="383"/>
      <c r="CD9" s="383"/>
      <c r="CE9" s="383"/>
      <c r="CF9" s="383"/>
      <c r="CG9" s="383"/>
      <c r="CH9" s="383"/>
      <c r="CI9" s="383"/>
      <c r="CJ9" s="383"/>
      <c r="CK9" s="383"/>
      <c r="CL9" s="383"/>
      <c r="CM9" s="383"/>
      <c r="CN9" s="384"/>
      <c r="CO9" s="271"/>
      <c r="CP9" s="271"/>
      <c r="CQ9" s="271"/>
      <c r="CR9" s="271"/>
      <c r="CS9" s="385"/>
      <c r="CT9" s="384"/>
      <c r="CU9" s="271"/>
      <c r="CV9" s="271"/>
      <c r="CW9" s="271"/>
      <c r="CX9" s="271"/>
      <c r="CY9" s="385"/>
      <c r="DB9" s="273"/>
      <c r="DC9" s="273"/>
      <c r="DE9" s="273"/>
      <c r="DF9" s="273"/>
      <c r="DH9" s="273"/>
      <c r="DI9" s="273"/>
    </row>
    <row r="10" spans="1:124" ht="13.5" customHeight="1" thickBot="1">
      <c r="A10" s="19"/>
      <c r="B10" s="19"/>
      <c r="C10" s="487"/>
      <c r="D10" s="487"/>
      <c r="E10" s="487"/>
      <c r="F10" s="487"/>
      <c r="G10" s="487"/>
      <c r="H10" s="487"/>
      <c r="I10" s="487"/>
      <c r="J10" s="487"/>
      <c r="K10" s="27"/>
      <c r="L10" s="524"/>
      <c r="M10" s="525"/>
      <c r="N10" s="525"/>
      <c r="O10" s="525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525"/>
      <c r="AC10" s="525"/>
      <c r="AD10" s="525"/>
      <c r="AE10" s="525"/>
      <c r="AF10" s="525"/>
      <c r="AG10" s="526"/>
      <c r="AH10" s="26"/>
      <c r="BH10" s="491" t="s">
        <v>69</v>
      </c>
      <c r="BI10" s="491"/>
      <c r="BJ10" s="491"/>
      <c r="BK10" s="491"/>
      <c r="BL10" s="491"/>
      <c r="BM10" s="491"/>
      <c r="BN10" s="28"/>
      <c r="BO10" s="28"/>
      <c r="BP10" s="385"/>
      <c r="BQ10" s="386"/>
      <c r="BR10" s="386"/>
      <c r="BS10" s="386"/>
      <c r="BT10" s="386"/>
      <c r="BU10" s="386"/>
      <c r="BV10" s="383"/>
      <c r="BW10" s="383"/>
      <c r="BX10" s="383"/>
      <c r="BY10" s="383"/>
      <c r="BZ10" s="383"/>
      <c r="CA10" s="383"/>
      <c r="CB10" s="383"/>
      <c r="CC10" s="383"/>
      <c r="CD10" s="383"/>
      <c r="CE10" s="383"/>
      <c r="CF10" s="383"/>
      <c r="CG10" s="383"/>
      <c r="CH10" s="383"/>
      <c r="CI10" s="383"/>
      <c r="CJ10" s="383"/>
      <c r="CK10" s="383"/>
      <c r="CL10" s="383"/>
      <c r="CM10" s="383"/>
      <c r="CN10" s="380"/>
      <c r="CO10" s="381"/>
      <c r="CP10" s="381"/>
      <c r="CQ10" s="381"/>
      <c r="CR10" s="381"/>
      <c r="CS10" s="382"/>
      <c r="CT10" s="380"/>
      <c r="CU10" s="381"/>
      <c r="CV10" s="381"/>
      <c r="CW10" s="381"/>
      <c r="CX10" s="381"/>
      <c r="CY10" s="382"/>
      <c r="DB10" s="273"/>
      <c r="DC10" s="273"/>
      <c r="DE10" s="273"/>
      <c r="DF10" s="273"/>
      <c r="DH10" s="273"/>
      <c r="DI10" s="273"/>
    </row>
    <row r="11" spans="1:124" ht="22.5" customHeight="1" thickBot="1">
      <c r="A11" s="19"/>
      <c r="B11" s="51"/>
      <c r="C11" s="486" t="s">
        <v>0</v>
      </c>
      <c r="D11" s="486"/>
      <c r="E11" s="486"/>
      <c r="F11" s="486"/>
      <c r="G11" s="486"/>
      <c r="H11" s="486"/>
      <c r="I11" s="486"/>
      <c r="J11" s="486"/>
      <c r="K11" s="52"/>
      <c r="L11" s="536" t="s">
        <v>256</v>
      </c>
      <c r="M11" s="537"/>
      <c r="N11" s="537"/>
      <c r="O11" s="537"/>
      <c r="P11" s="537"/>
      <c r="Q11" s="537"/>
      <c r="R11" s="537"/>
      <c r="S11" s="537"/>
      <c r="T11" s="537"/>
      <c r="U11" s="537"/>
      <c r="V11" s="537"/>
      <c r="W11" s="537"/>
      <c r="X11" s="537"/>
      <c r="Y11" s="537"/>
      <c r="Z11" s="537"/>
      <c r="AA11" s="537"/>
      <c r="AB11" s="537"/>
      <c r="AC11" s="537"/>
      <c r="AD11" s="537"/>
      <c r="AE11" s="537"/>
      <c r="AF11" s="537"/>
      <c r="AG11" s="538"/>
      <c r="AH11" s="32"/>
      <c r="AS11" s="445" t="s">
        <v>92</v>
      </c>
      <c r="AT11" s="446"/>
      <c r="AU11" s="446"/>
      <c r="AV11" s="446"/>
      <c r="AW11" s="446"/>
      <c r="AX11" s="446"/>
      <c r="AY11" s="446"/>
      <c r="AZ11" s="446"/>
      <c r="BA11" s="447"/>
      <c r="BB11" s="448">
        <v>3000000</v>
      </c>
      <c r="BC11" s="449"/>
      <c r="BD11" s="449"/>
      <c r="BE11" s="449"/>
      <c r="BF11" s="449"/>
      <c r="BG11" s="449"/>
      <c r="BH11" s="449"/>
      <c r="BI11" s="449"/>
      <c r="BJ11" s="449"/>
      <c r="BK11" s="449"/>
      <c r="BL11" s="449"/>
      <c r="BM11" s="450"/>
      <c r="BO11" s="33" t="s">
        <v>77</v>
      </c>
      <c r="BR11" s="9"/>
      <c r="BS11" s="41" t="s">
        <v>64</v>
      </c>
      <c r="BT11" s="9"/>
      <c r="BV11" s="17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34"/>
      <c r="CU11" s="28"/>
      <c r="CV11" s="28"/>
      <c r="CW11" s="28"/>
      <c r="CX11" s="28"/>
      <c r="CY11" s="29"/>
      <c r="DB11" s="273"/>
      <c r="DC11" s="273"/>
      <c r="DE11" s="273"/>
      <c r="DF11" s="273"/>
      <c r="DH11" s="273"/>
      <c r="DI11" s="273"/>
    </row>
    <row r="12" spans="1:124" ht="22.5" customHeight="1" thickBot="1">
      <c r="A12" s="19"/>
      <c r="B12" s="35"/>
      <c r="C12" s="482" t="s">
        <v>1</v>
      </c>
      <c r="D12" s="482"/>
      <c r="E12" s="482"/>
      <c r="F12" s="482"/>
      <c r="G12" s="482"/>
      <c r="H12" s="482"/>
      <c r="I12" s="482"/>
      <c r="J12" s="482"/>
      <c r="K12" s="195"/>
      <c r="L12" s="469" t="s">
        <v>245</v>
      </c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  <c r="AG12" s="471"/>
      <c r="AH12" s="37"/>
      <c r="AJ12" s="28"/>
      <c r="AK12" s="38" t="s">
        <v>17</v>
      </c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39"/>
      <c r="BE12" s="39"/>
      <c r="BF12" s="39"/>
      <c r="BG12" s="39"/>
      <c r="BH12" s="39"/>
      <c r="BI12" s="39"/>
      <c r="BJ12" s="39"/>
      <c r="BK12" s="39"/>
      <c r="BL12" s="39"/>
      <c r="BM12" s="40"/>
      <c r="BN12" s="40"/>
      <c r="BO12" s="40"/>
      <c r="BP12" s="40"/>
      <c r="BQ12" s="40"/>
      <c r="BT12" s="9"/>
      <c r="BU12" s="40"/>
      <c r="BV12" s="40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L12" s="28"/>
      <c r="CM12" s="28"/>
      <c r="CN12" s="28"/>
      <c r="CO12" s="28"/>
      <c r="CP12" s="28"/>
      <c r="CQ12" s="28"/>
      <c r="CR12" s="28"/>
      <c r="CS12" s="28"/>
      <c r="CT12" s="28"/>
      <c r="CU12" s="271" t="s">
        <v>211</v>
      </c>
      <c r="CV12" s="271"/>
      <c r="CW12" s="28"/>
      <c r="CX12" s="28"/>
      <c r="CY12" s="29"/>
      <c r="DB12" s="273"/>
      <c r="DC12" s="273"/>
      <c r="DE12" s="273"/>
      <c r="DF12" s="273"/>
      <c r="DH12" s="273"/>
      <c r="DI12" s="273"/>
    </row>
    <row r="13" spans="1:124" ht="22.5" customHeight="1" thickBot="1">
      <c r="A13" s="19"/>
      <c r="B13" s="42"/>
      <c r="C13" s="483"/>
      <c r="D13" s="483"/>
      <c r="E13" s="483"/>
      <c r="F13" s="483"/>
      <c r="G13" s="483"/>
      <c r="H13" s="483"/>
      <c r="I13" s="483"/>
      <c r="J13" s="483"/>
      <c r="K13" s="43"/>
      <c r="L13" s="472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4"/>
      <c r="AH13" s="37"/>
      <c r="AJ13" s="455" t="s">
        <v>15</v>
      </c>
      <c r="AK13" s="456"/>
      <c r="AL13" s="456"/>
      <c r="AM13" s="456"/>
      <c r="AN13" s="456"/>
      <c r="AO13" s="456"/>
      <c r="AP13" s="456"/>
      <c r="AQ13" s="456"/>
      <c r="AR13" s="456"/>
      <c r="AS13" s="456"/>
      <c r="AT13" s="456"/>
      <c r="AU13" s="456"/>
      <c r="AV13" s="456"/>
      <c r="AW13" s="456"/>
      <c r="AX13" s="457"/>
      <c r="AY13" s="451" t="s">
        <v>16</v>
      </c>
      <c r="AZ13" s="451"/>
      <c r="BA13" s="451"/>
      <c r="BB13" s="3"/>
      <c r="BC13" s="452" t="s">
        <v>52</v>
      </c>
      <c r="BD13" s="453"/>
      <c r="BE13" s="453"/>
      <c r="BF13" s="453"/>
      <c r="BG13" s="453"/>
      <c r="BH13" s="454"/>
      <c r="BI13" s="444" t="s">
        <v>16</v>
      </c>
      <c r="BJ13" s="444"/>
      <c r="BK13" s="444"/>
      <c r="BL13" s="39"/>
      <c r="BM13" s="427" t="s">
        <v>54</v>
      </c>
      <c r="BN13" s="428"/>
      <c r="BO13" s="428"/>
      <c r="BP13" s="428"/>
      <c r="BQ13" s="428"/>
      <c r="BR13" s="429"/>
      <c r="BS13" s="398" t="s">
        <v>16</v>
      </c>
      <c r="BT13" s="399"/>
      <c r="BU13" s="400"/>
      <c r="BV13" s="40"/>
      <c r="BW13" s="392" t="s">
        <v>28</v>
      </c>
      <c r="BX13" s="393"/>
      <c r="BY13" s="393"/>
      <c r="BZ13" s="393"/>
      <c r="CA13" s="393"/>
      <c r="CB13" s="393"/>
      <c r="CC13" s="394"/>
      <c r="CD13" s="395" t="e">
        <f>QCDS!AN49</f>
        <v>#REF!</v>
      </c>
      <c r="CE13" s="396"/>
      <c r="CF13" s="396"/>
      <c r="CG13" s="396"/>
      <c r="CH13" s="397"/>
      <c r="CI13" s="97" t="s">
        <v>213</v>
      </c>
      <c r="CL13" s="39"/>
      <c r="CM13" s="39"/>
      <c r="CN13" s="39"/>
      <c r="CO13" s="39"/>
      <c r="CP13" s="28"/>
      <c r="CQ13" s="28"/>
      <c r="CR13" s="28"/>
      <c r="CS13" s="28"/>
      <c r="CT13" s="28"/>
      <c r="CV13" s="8" t="s">
        <v>69</v>
      </c>
      <c r="CW13" s="28"/>
      <c r="CX13" s="28"/>
      <c r="CY13" s="29"/>
      <c r="DB13" s="8" t="s">
        <v>262</v>
      </c>
    </row>
    <row r="14" spans="1:124" ht="22.5" customHeight="1">
      <c r="A14" s="19"/>
      <c r="B14" s="35"/>
      <c r="C14" s="484" t="s">
        <v>2</v>
      </c>
      <c r="D14" s="484"/>
      <c r="E14" s="484"/>
      <c r="F14" s="484"/>
      <c r="G14" s="484"/>
      <c r="H14" s="484"/>
      <c r="I14" s="484"/>
      <c r="J14" s="484"/>
      <c r="K14" s="36"/>
      <c r="L14" s="475" t="s">
        <v>272</v>
      </c>
      <c r="M14" s="476"/>
      <c r="N14" s="476"/>
      <c r="O14" s="476"/>
      <c r="P14" s="476"/>
      <c r="Q14" s="47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7"/>
      <c r="AH14" s="37"/>
      <c r="AJ14" s="478" t="s">
        <v>12</v>
      </c>
      <c r="AK14" s="479"/>
      <c r="AL14" s="479"/>
      <c r="AM14" s="479"/>
      <c r="AN14" s="479"/>
      <c r="AO14" s="479"/>
      <c r="AP14" s="479"/>
      <c r="AQ14" s="479"/>
      <c r="AR14" s="480"/>
      <c r="AS14" s="387">
        <f>AR37</f>
        <v>2350000</v>
      </c>
      <c r="AT14" s="388"/>
      <c r="AU14" s="388"/>
      <c r="AV14" s="388"/>
      <c r="AW14" s="388"/>
      <c r="AX14" s="388"/>
      <c r="AY14" s="430">
        <f>AS14/$BB$11*100</f>
        <v>78.333333333333329</v>
      </c>
      <c r="AZ14" s="431"/>
      <c r="BA14" s="431"/>
      <c r="BB14" s="3"/>
      <c r="BC14" s="387">
        <f>AX37</f>
        <v>2110000</v>
      </c>
      <c r="BD14" s="388"/>
      <c r="BE14" s="388"/>
      <c r="BF14" s="388"/>
      <c r="BG14" s="388"/>
      <c r="BH14" s="388"/>
      <c r="BI14" s="430">
        <f>BC14/$BB$11*100</f>
        <v>70.333333333333343</v>
      </c>
      <c r="BJ14" s="431"/>
      <c r="BK14" s="431"/>
      <c r="BL14" s="40"/>
      <c r="BM14" s="387">
        <f>ROUNDUP(CO37,-3)</f>
        <v>2110000</v>
      </c>
      <c r="BN14" s="388"/>
      <c r="BO14" s="388"/>
      <c r="BP14" s="388"/>
      <c r="BQ14" s="388"/>
      <c r="BR14" s="388"/>
      <c r="BS14" s="430">
        <f>BM14/$BB$11*100</f>
        <v>70.333333333333343</v>
      </c>
      <c r="BT14" s="431"/>
      <c r="BU14" s="431"/>
      <c r="BV14" s="40"/>
      <c r="BW14" s="390" t="s">
        <v>25</v>
      </c>
      <c r="BX14" s="390"/>
      <c r="BY14" s="390"/>
      <c r="BZ14" s="390"/>
      <c r="CA14" s="390"/>
      <c r="CB14" s="390"/>
      <c r="CC14" s="390"/>
      <c r="CD14" s="391" t="e">
        <f>印紙税額算定表1!C10</f>
        <v>#REF!</v>
      </c>
      <c r="CE14" s="391"/>
      <c r="CF14" s="391"/>
      <c r="CG14" s="391"/>
      <c r="CH14" s="391"/>
      <c r="CI14" s="372" t="s">
        <v>33</v>
      </c>
      <c r="CJ14" s="372"/>
      <c r="CK14" s="372"/>
      <c r="CL14" s="372"/>
      <c r="CM14" s="372"/>
      <c r="CN14" s="372"/>
      <c r="CO14" s="372"/>
      <c r="CP14" s="369">
        <v>2000</v>
      </c>
      <c r="CQ14" s="369"/>
      <c r="CR14" s="369"/>
      <c r="CS14" s="369"/>
      <c r="CT14" s="369"/>
      <c r="CU14" s="575">
        <v>0.05</v>
      </c>
      <c r="CV14" s="575"/>
      <c r="CW14" s="373" t="s">
        <v>44</v>
      </c>
      <c r="CX14" s="373"/>
      <c r="CY14" s="29"/>
      <c r="DB14" s="8" t="s">
        <v>263</v>
      </c>
      <c r="DF14" s="261"/>
      <c r="DG14" s="262"/>
      <c r="DH14" s="262"/>
      <c r="DI14" s="262"/>
      <c r="DJ14" s="87"/>
      <c r="DK14" s="87"/>
      <c r="DL14" s="87"/>
      <c r="DN14" s="261"/>
      <c r="DO14" s="262"/>
      <c r="DP14" s="262"/>
      <c r="DQ14" s="262"/>
      <c r="DR14" s="87"/>
      <c r="DS14" s="87"/>
      <c r="DT14" s="87"/>
    </row>
    <row r="15" spans="1:124" ht="22.5" customHeight="1">
      <c r="A15" s="19"/>
      <c r="B15" s="42"/>
      <c r="C15" s="483"/>
      <c r="D15" s="483"/>
      <c r="E15" s="483"/>
      <c r="F15" s="483"/>
      <c r="G15" s="483"/>
      <c r="H15" s="483"/>
      <c r="I15" s="483"/>
      <c r="J15" s="483"/>
      <c r="K15" s="43"/>
      <c r="L15" s="472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4"/>
      <c r="AH15" s="44"/>
      <c r="AJ15" s="458" t="s">
        <v>13</v>
      </c>
      <c r="AK15" s="459"/>
      <c r="AL15" s="459"/>
      <c r="AM15" s="459"/>
      <c r="AN15" s="459"/>
      <c r="AO15" s="459"/>
      <c r="AP15" s="459"/>
      <c r="AQ15" s="459"/>
      <c r="AR15" s="460"/>
      <c r="AS15" s="481" t="e">
        <f>CD13</f>
        <v>#REF!</v>
      </c>
      <c r="AT15" s="481"/>
      <c r="AU15" s="481"/>
      <c r="AV15" s="481"/>
      <c r="AW15" s="481"/>
      <c r="AX15" s="481"/>
      <c r="AY15" s="440" t="e">
        <f>AS15/$BB$11*100</f>
        <v>#REF!</v>
      </c>
      <c r="AZ15" s="440"/>
      <c r="BA15" s="440"/>
      <c r="BB15" s="3"/>
      <c r="BC15" s="422" t="e">
        <f>ROUNDUP(CD13,-3)</f>
        <v>#REF!</v>
      </c>
      <c r="BD15" s="423"/>
      <c r="BE15" s="423"/>
      <c r="BF15" s="423"/>
      <c r="BG15" s="423"/>
      <c r="BH15" s="424"/>
      <c r="BI15" s="413" t="e">
        <f>BC15/$BB$11*100</f>
        <v>#REF!</v>
      </c>
      <c r="BJ15" s="414"/>
      <c r="BK15" s="415"/>
      <c r="BL15" s="45"/>
      <c r="BM15" s="422" t="e">
        <f>ROUNDUP(CD13,-3)</f>
        <v>#REF!</v>
      </c>
      <c r="BN15" s="423"/>
      <c r="BO15" s="423"/>
      <c r="BP15" s="423"/>
      <c r="BQ15" s="423"/>
      <c r="BR15" s="424"/>
      <c r="BS15" s="404" t="e">
        <f>BM15/$BB$11*100</f>
        <v>#REF!</v>
      </c>
      <c r="BT15" s="405"/>
      <c r="BU15" s="406"/>
      <c r="BV15" s="40"/>
      <c r="BW15" s="372" t="s">
        <v>26</v>
      </c>
      <c r="BX15" s="372"/>
      <c r="BY15" s="372"/>
      <c r="BZ15" s="372"/>
      <c r="CA15" s="372"/>
      <c r="CB15" s="372"/>
      <c r="CC15" s="372"/>
      <c r="CD15" s="371">
        <f>BB11*0.2185%</f>
        <v>6555</v>
      </c>
      <c r="CE15" s="371"/>
      <c r="CF15" s="371"/>
      <c r="CG15" s="371"/>
      <c r="CH15" s="371"/>
      <c r="CI15" s="372" t="s">
        <v>34</v>
      </c>
      <c r="CJ15" s="372"/>
      <c r="CK15" s="372"/>
      <c r="CL15" s="372"/>
      <c r="CM15" s="372"/>
      <c r="CN15" s="372"/>
      <c r="CO15" s="372"/>
      <c r="CP15" s="369">
        <v>10000</v>
      </c>
      <c r="CQ15" s="369"/>
      <c r="CR15" s="369"/>
      <c r="CS15" s="369"/>
      <c r="CT15" s="369"/>
      <c r="CU15" s="574">
        <v>0.3</v>
      </c>
      <c r="CV15" s="574"/>
      <c r="CW15" s="373" t="s">
        <v>44</v>
      </c>
      <c r="CX15" s="373"/>
      <c r="CY15" s="29"/>
      <c r="DB15" s="8" t="s">
        <v>264</v>
      </c>
      <c r="DF15" s="262"/>
      <c r="DG15" s="262"/>
      <c r="DH15" s="262"/>
      <c r="DI15" s="262"/>
      <c r="DJ15" s="87"/>
      <c r="DK15" s="87"/>
      <c r="DL15" s="87"/>
      <c r="DN15" s="262"/>
      <c r="DO15" s="262"/>
      <c r="DP15" s="262"/>
      <c r="DQ15" s="262"/>
      <c r="DR15" s="87"/>
      <c r="DS15" s="87"/>
      <c r="DT15" s="87"/>
    </row>
    <row r="16" spans="1:124" ht="22.5" customHeight="1">
      <c r="A16" s="19"/>
      <c r="B16" s="35"/>
      <c r="C16" s="484" t="s">
        <v>37</v>
      </c>
      <c r="D16" s="484"/>
      <c r="E16" s="484"/>
      <c r="F16" s="484"/>
      <c r="G16" s="484"/>
      <c r="H16" s="484"/>
      <c r="I16" s="484"/>
      <c r="J16" s="484"/>
      <c r="K16" s="36"/>
      <c r="L16" s="475" t="s">
        <v>246</v>
      </c>
      <c r="M16" s="476"/>
      <c r="N16" s="476"/>
      <c r="O16" s="476"/>
      <c r="P16" s="476"/>
      <c r="Q16" s="476"/>
      <c r="R16" s="476"/>
      <c r="S16" s="476"/>
      <c r="T16" s="476"/>
      <c r="U16" s="476"/>
      <c r="V16" s="476"/>
      <c r="W16" s="476"/>
      <c r="X16" s="476"/>
      <c r="Y16" s="476"/>
      <c r="Z16" s="476"/>
      <c r="AA16" s="476"/>
      <c r="AB16" s="476"/>
      <c r="AC16" s="476"/>
      <c r="AD16" s="476"/>
      <c r="AE16" s="476"/>
      <c r="AF16" s="476"/>
      <c r="AG16" s="477"/>
      <c r="AH16" s="44"/>
      <c r="AJ16" s="401" t="s">
        <v>14</v>
      </c>
      <c r="AK16" s="402"/>
      <c r="AL16" s="402"/>
      <c r="AM16" s="402"/>
      <c r="AN16" s="402"/>
      <c r="AO16" s="402"/>
      <c r="AP16" s="402"/>
      <c r="AQ16" s="402"/>
      <c r="AR16" s="403"/>
      <c r="AS16" s="370" t="e">
        <f>AS14+AS15</f>
        <v>#REF!</v>
      </c>
      <c r="AT16" s="370"/>
      <c r="AU16" s="370"/>
      <c r="AV16" s="370"/>
      <c r="AW16" s="370"/>
      <c r="AX16" s="370"/>
      <c r="AY16" s="368" t="e">
        <f>AS16/$BB$11*100</f>
        <v>#REF!</v>
      </c>
      <c r="AZ16" s="368"/>
      <c r="BA16" s="368"/>
      <c r="BB16" s="3"/>
      <c r="BC16" s="370" t="e">
        <f>BC14+BC15</f>
        <v>#REF!</v>
      </c>
      <c r="BD16" s="370"/>
      <c r="BE16" s="370"/>
      <c r="BF16" s="370"/>
      <c r="BG16" s="370"/>
      <c r="BH16" s="370"/>
      <c r="BI16" s="368" t="e">
        <f>BC16/$BB$11*100</f>
        <v>#REF!</v>
      </c>
      <c r="BJ16" s="368"/>
      <c r="BK16" s="368"/>
      <c r="BL16" s="39"/>
      <c r="BM16" s="370" t="e">
        <f>BM14+BM15</f>
        <v>#REF!</v>
      </c>
      <c r="BN16" s="370"/>
      <c r="BO16" s="370"/>
      <c r="BP16" s="370"/>
      <c r="BQ16" s="370"/>
      <c r="BR16" s="370"/>
      <c r="BS16" s="368" t="e">
        <f>BM16/$BB$11*100</f>
        <v>#REF!</v>
      </c>
      <c r="BT16" s="368"/>
      <c r="BU16" s="368"/>
      <c r="BV16" s="40"/>
      <c r="BW16" s="372" t="s">
        <v>27</v>
      </c>
      <c r="BX16" s="372"/>
      <c r="BY16" s="372"/>
      <c r="BZ16" s="372"/>
      <c r="CA16" s="372"/>
      <c r="CB16" s="372"/>
      <c r="CC16" s="372"/>
      <c r="CD16" s="371">
        <f>BB11*1.1*0.2095%</f>
        <v>6913.5000000000009</v>
      </c>
      <c r="CE16" s="371"/>
      <c r="CF16" s="371"/>
      <c r="CG16" s="371"/>
      <c r="CH16" s="371"/>
      <c r="CI16" s="372" t="s">
        <v>80</v>
      </c>
      <c r="CJ16" s="372"/>
      <c r="CK16" s="372"/>
      <c r="CL16" s="372"/>
      <c r="CM16" s="372"/>
      <c r="CN16" s="372"/>
      <c r="CO16" s="372"/>
      <c r="CP16" s="369">
        <v>5000</v>
      </c>
      <c r="CQ16" s="369"/>
      <c r="CR16" s="369"/>
      <c r="CS16" s="369"/>
      <c r="CT16" s="369"/>
      <c r="CU16" s="574">
        <v>0.15</v>
      </c>
      <c r="CV16" s="574"/>
      <c r="CW16" s="373" t="s">
        <v>44</v>
      </c>
      <c r="CX16" s="373"/>
      <c r="CY16" s="29"/>
      <c r="DB16" s="8" t="s">
        <v>265</v>
      </c>
      <c r="DF16" s="262"/>
      <c r="DG16" s="262"/>
      <c r="DH16" s="262"/>
      <c r="DI16" s="262"/>
      <c r="DJ16" s="87"/>
      <c r="DK16" s="87"/>
      <c r="DL16" s="87"/>
      <c r="DN16" s="262"/>
      <c r="DO16" s="262"/>
      <c r="DP16" s="262"/>
      <c r="DQ16" s="262"/>
      <c r="DR16" s="87"/>
      <c r="DS16" s="87"/>
      <c r="DT16" s="87"/>
    </row>
    <row r="17" spans="1:180" ht="22.5" customHeight="1">
      <c r="A17" s="19"/>
      <c r="B17" s="46"/>
      <c r="C17" s="485"/>
      <c r="D17" s="485"/>
      <c r="E17" s="485"/>
      <c r="F17" s="485"/>
      <c r="G17" s="485"/>
      <c r="H17" s="485"/>
      <c r="I17" s="485"/>
      <c r="J17" s="485"/>
      <c r="K17" s="47"/>
      <c r="L17" s="518"/>
      <c r="M17" s="519"/>
      <c r="N17" s="519"/>
      <c r="O17" s="519"/>
      <c r="P17" s="519"/>
      <c r="Q17" s="519"/>
      <c r="R17" s="519"/>
      <c r="S17" s="519"/>
      <c r="T17" s="519"/>
      <c r="U17" s="519"/>
      <c r="V17" s="519"/>
      <c r="W17" s="519"/>
      <c r="X17" s="519"/>
      <c r="Y17" s="519"/>
      <c r="Z17" s="519"/>
      <c r="AA17" s="519"/>
      <c r="AB17" s="519"/>
      <c r="AC17" s="519"/>
      <c r="AD17" s="519"/>
      <c r="AE17" s="519"/>
      <c r="AF17" s="519"/>
      <c r="AG17" s="520"/>
      <c r="AH17" s="44"/>
      <c r="AJ17" s="488" t="s">
        <v>45</v>
      </c>
      <c r="AK17" s="489"/>
      <c r="AL17" s="489"/>
      <c r="AM17" s="489"/>
      <c r="AN17" s="489"/>
      <c r="AO17" s="489"/>
      <c r="AP17" s="489"/>
      <c r="AQ17" s="489"/>
      <c r="AR17" s="490"/>
      <c r="AS17" s="407">
        <f>AY17/100*$BB$11</f>
        <v>300000</v>
      </c>
      <c r="AT17" s="408"/>
      <c r="AU17" s="408"/>
      <c r="AV17" s="408"/>
      <c r="AW17" s="408"/>
      <c r="AX17" s="409"/>
      <c r="AY17" s="432">
        <v>10</v>
      </c>
      <c r="AZ17" s="433"/>
      <c r="BA17" s="434"/>
      <c r="BB17" s="3"/>
      <c r="BC17" s="407">
        <f>BI17/100*$BB$11</f>
        <v>300000</v>
      </c>
      <c r="BD17" s="408"/>
      <c r="BE17" s="408"/>
      <c r="BF17" s="408"/>
      <c r="BG17" s="408"/>
      <c r="BH17" s="409"/>
      <c r="BI17" s="416">
        <v>10</v>
      </c>
      <c r="BJ17" s="417"/>
      <c r="BK17" s="418"/>
      <c r="BL17" s="45"/>
      <c r="BM17" s="407">
        <f>BS17/100*$BB$11</f>
        <v>300000</v>
      </c>
      <c r="BN17" s="408"/>
      <c r="BO17" s="408"/>
      <c r="BP17" s="408"/>
      <c r="BQ17" s="408"/>
      <c r="BR17" s="409"/>
      <c r="BS17" s="416">
        <v>10</v>
      </c>
      <c r="BT17" s="417"/>
      <c r="BU17" s="418"/>
      <c r="BV17" s="39"/>
      <c r="BW17" s="28"/>
      <c r="BX17" s="28"/>
      <c r="BY17" s="28"/>
      <c r="BZ17" s="28"/>
      <c r="CA17" s="28"/>
      <c r="CB17" s="28"/>
      <c r="CC17" s="28"/>
      <c r="CD17" s="28"/>
      <c r="CF17" s="28"/>
      <c r="CI17" s="28"/>
      <c r="CJ17" s="28"/>
      <c r="CK17" s="28"/>
      <c r="CL17" s="28"/>
      <c r="CN17" s="28"/>
      <c r="CO17" s="28"/>
      <c r="CP17" s="28"/>
      <c r="CQ17" s="28"/>
      <c r="CR17" s="28"/>
      <c r="CS17" s="97" t="s">
        <v>69</v>
      </c>
      <c r="CV17" s="28"/>
      <c r="CW17" s="28"/>
      <c r="CX17" s="28"/>
      <c r="CY17" s="29"/>
      <c r="DB17" s="8" t="s">
        <v>266</v>
      </c>
      <c r="DF17" s="262"/>
      <c r="DG17" s="262"/>
      <c r="DH17" s="262"/>
      <c r="DI17" s="262"/>
      <c r="DJ17" s="87"/>
      <c r="DK17" s="87"/>
      <c r="DL17" s="87"/>
      <c r="DN17" s="262"/>
      <c r="DO17" s="262"/>
      <c r="DP17" s="262"/>
      <c r="DQ17" s="262"/>
      <c r="DR17" s="87"/>
      <c r="DS17" s="87"/>
      <c r="DT17" s="87"/>
    </row>
    <row r="18" spans="1:180" ht="22.5" customHeight="1">
      <c r="A18" s="19"/>
      <c r="B18" s="48"/>
      <c r="C18" s="487" t="s">
        <v>53</v>
      </c>
      <c r="D18" s="487"/>
      <c r="E18" s="487"/>
      <c r="F18" s="487"/>
      <c r="G18" s="487"/>
      <c r="H18" s="487"/>
      <c r="I18" s="487"/>
      <c r="J18" s="487"/>
      <c r="K18" s="49"/>
      <c r="L18" s="472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4"/>
      <c r="AH18" s="50"/>
      <c r="AJ18" s="465" t="s">
        <v>240</v>
      </c>
      <c r="AK18" s="466"/>
      <c r="AL18" s="466"/>
      <c r="AM18" s="466"/>
      <c r="AN18" s="466"/>
      <c r="AO18" s="466"/>
      <c r="AP18" s="466"/>
      <c r="AQ18" s="466"/>
      <c r="AR18" s="467"/>
      <c r="AS18" s="410"/>
      <c r="AT18" s="411"/>
      <c r="AU18" s="411"/>
      <c r="AV18" s="411"/>
      <c r="AW18" s="411"/>
      <c r="AX18" s="412"/>
      <c r="AY18" s="435"/>
      <c r="AZ18" s="436"/>
      <c r="BA18" s="437"/>
      <c r="BB18" s="3"/>
      <c r="BC18" s="410"/>
      <c r="BD18" s="411"/>
      <c r="BE18" s="411"/>
      <c r="BF18" s="411"/>
      <c r="BG18" s="411"/>
      <c r="BH18" s="412"/>
      <c r="BI18" s="419"/>
      <c r="BJ18" s="420"/>
      <c r="BK18" s="421"/>
      <c r="BL18" s="45"/>
      <c r="BM18" s="410"/>
      <c r="BN18" s="411"/>
      <c r="BO18" s="411"/>
      <c r="BP18" s="411"/>
      <c r="BQ18" s="411"/>
      <c r="BR18" s="412"/>
      <c r="BS18" s="419"/>
      <c r="BT18" s="420"/>
      <c r="BU18" s="421"/>
      <c r="BV18" s="39"/>
      <c r="BW18" s="96"/>
      <c r="BX18" s="96"/>
      <c r="BY18" s="96"/>
      <c r="BZ18" s="96"/>
      <c r="CA18" s="96"/>
      <c r="CB18" s="95" t="s">
        <v>212</v>
      </c>
      <c r="CD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29"/>
      <c r="DB18" s="8" t="s">
        <v>267</v>
      </c>
      <c r="DF18" s="262"/>
      <c r="DG18" s="262"/>
      <c r="DH18" s="262"/>
      <c r="DI18" s="262"/>
      <c r="DJ18" s="87"/>
      <c r="DK18" s="87"/>
      <c r="DL18" s="87"/>
      <c r="DN18" s="262"/>
      <c r="DO18" s="262"/>
      <c r="DP18" s="262"/>
      <c r="DQ18" s="262"/>
      <c r="DR18" s="87"/>
      <c r="DS18" s="87"/>
      <c r="DT18" s="87"/>
    </row>
    <row r="19" spans="1:180" ht="22.5" customHeight="1">
      <c r="A19" s="19"/>
      <c r="B19" s="51"/>
      <c r="C19" s="533" t="s">
        <v>182</v>
      </c>
      <c r="D19" s="533"/>
      <c r="E19" s="533"/>
      <c r="F19" s="533"/>
      <c r="G19" s="533"/>
      <c r="H19" s="533"/>
      <c r="I19" s="533"/>
      <c r="J19" s="533"/>
      <c r="K19" s="52"/>
      <c r="L19" s="516"/>
      <c r="M19" s="517"/>
      <c r="N19" s="517"/>
      <c r="O19" s="517"/>
      <c r="P19" s="517"/>
      <c r="Q19" s="517"/>
      <c r="R19" s="517"/>
      <c r="S19" s="517"/>
      <c r="T19" s="517"/>
      <c r="U19" s="517"/>
      <c r="V19" s="492" t="s">
        <v>48</v>
      </c>
      <c r="W19" s="492"/>
      <c r="X19" s="531"/>
      <c r="Y19" s="531"/>
      <c r="Z19" s="531"/>
      <c r="AA19" s="531"/>
      <c r="AB19" s="531"/>
      <c r="AC19" s="531"/>
      <c r="AD19" s="531"/>
      <c r="AE19" s="531"/>
      <c r="AF19" s="531"/>
      <c r="AG19" s="532"/>
      <c r="AH19" s="50"/>
      <c r="AJ19" s="401" t="s">
        <v>214</v>
      </c>
      <c r="AK19" s="402"/>
      <c r="AL19" s="402"/>
      <c r="AM19" s="402"/>
      <c r="AN19" s="402"/>
      <c r="AO19" s="402"/>
      <c r="AP19" s="402"/>
      <c r="AQ19" s="402"/>
      <c r="AR19" s="403"/>
      <c r="AS19" s="370" t="e">
        <f>$BB$11-AS16-AS17</f>
        <v>#REF!</v>
      </c>
      <c r="AT19" s="370"/>
      <c r="AU19" s="370"/>
      <c r="AV19" s="370"/>
      <c r="AW19" s="370"/>
      <c r="AX19" s="370"/>
      <c r="AY19" s="368" t="e">
        <f>AS19/$BB$11*100</f>
        <v>#REF!</v>
      </c>
      <c r="AZ19" s="368"/>
      <c r="BA19" s="368"/>
      <c r="BB19" s="3"/>
      <c r="BC19" s="370" t="e">
        <f>$BB$11-BC16-AS17</f>
        <v>#REF!</v>
      </c>
      <c r="BD19" s="370"/>
      <c r="BE19" s="370"/>
      <c r="BF19" s="370"/>
      <c r="BG19" s="370"/>
      <c r="BH19" s="370"/>
      <c r="BI19" s="368" t="e">
        <f>BC19/$BB$11*100</f>
        <v>#REF!</v>
      </c>
      <c r="BJ19" s="368"/>
      <c r="BK19" s="368"/>
      <c r="BL19" s="39"/>
      <c r="BM19" s="370" t="e">
        <f>$BB$11-BM16-AS17</f>
        <v>#REF!</v>
      </c>
      <c r="BN19" s="370"/>
      <c r="BO19" s="370"/>
      <c r="BP19" s="370"/>
      <c r="BQ19" s="370"/>
      <c r="BR19" s="370"/>
      <c r="BS19" s="368" t="e">
        <f>BM19/$BB$11*100</f>
        <v>#REF!</v>
      </c>
      <c r="BT19" s="368"/>
      <c r="BU19" s="368"/>
      <c r="BV19" s="39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29"/>
      <c r="DB19" s="8" t="s">
        <v>268</v>
      </c>
      <c r="DF19" s="262"/>
      <c r="DG19" s="262"/>
      <c r="DH19" s="262"/>
      <c r="DI19" s="262"/>
      <c r="DJ19" s="87"/>
      <c r="DK19" s="87"/>
      <c r="DL19" s="87"/>
      <c r="DN19" s="262"/>
      <c r="DO19" s="262"/>
      <c r="DP19" s="262"/>
      <c r="DQ19" s="262"/>
      <c r="DR19" s="87"/>
      <c r="DS19" s="87"/>
      <c r="DT19" s="87"/>
    </row>
    <row r="20" spans="1:180" ht="22.5" customHeight="1">
      <c r="A20" s="19"/>
      <c r="B20" s="51"/>
      <c r="C20" s="533" t="s">
        <v>67</v>
      </c>
      <c r="D20" s="533"/>
      <c r="E20" s="533"/>
      <c r="F20" s="533"/>
      <c r="G20" s="533"/>
      <c r="H20" s="533"/>
      <c r="I20" s="533"/>
      <c r="J20" s="533"/>
      <c r="K20" s="52"/>
      <c r="L20" s="530"/>
      <c r="M20" s="500"/>
      <c r="N20" s="500"/>
      <c r="O20" s="500"/>
      <c r="P20" s="500"/>
      <c r="Q20" s="500"/>
      <c r="R20" s="500"/>
      <c r="S20" s="500"/>
      <c r="T20" s="500"/>
      <c r="U20" s="500"/>
      <c r="V20" s="499" t="s">
        <v>48</v>
      </c>
      <c r="W20" s="499"/>
      <c r="X20" s="500"/>
      <c r="Y20" s="500"/>
      <c r="Z20" s="500"/>
      <c r="AA20" s="500"/>
      <c r="AB20" s="500"/>
      <c r="AC20" s="500"/>
      <c r="AD20" s="500"/>
      <c r="AE20" s="500"/>
      <c r="AF20" s="500"/>
      <c r="AG20" s="501"/>
      <c r="AH20" s="26"/>
      <c r="AJ20" s="401" t="s">
        <v>38</v>
      </c>
      <c r="AK20" s="402"/>
      <c r="AL20" s="402"/>
      <c r="AM20" s="402"/>
      <c r="AN20" s="402"/>
      <c r="AO20" s="402"/>
      <c r="AP20" s="402"/>
      <c r="AQ20" s="402"/>
      <c r="AR20" s="403"/>
      <c r="AS20" s="370">
        <f>$BB$11*$AY$20/100</f>
        <v>300000</v>
      </c>
      <c r="AT20" s="370"/>
      <c r="AU20" s="370"/>
      <c r="AV20" s="370"/>
      <c r="AW20" s="370"/>
      <c r="AX20" s="370"/>
      <c r="AY20" s="539">
        <v>10</v>
      </c>
      <c r="AZ20" s="539"/>
      <c r="BA20" s="539"/>
      <c r="BB20" s="40"/>
      <c r="BC20" s="370">
        <f>$BB$11*$BI$20/100</f>
        <v>300000</v>
      </c>
      <c r="BD20" s="370"/>
      <c r="BE20" s="370"/>
      <c r="BF20" s="370"/>
      <c r="BG20" s="370"/>
      <c r="BH20" s="370"/>
      <c r="BI20" s="365">
        <v>10</v>
      </c>
      <c r="BJ20" s="366"/>
      <c r="BK20" s="367"/>
      <c r="BL20" s="94"/>
      <c r="BM20" s="370">
        <f>$BB$11*$BS$20/100</f>
        <v>300000</v>
      </c>
      <c r="BN20" s="370"/>
      <c r="BO20" s="370"/>
      <c r="BP20" s="370"/>
      <c r="BQ20" s="370"/>
      <c r="BR20" s="370"/>
      <c r="BS20" s="365">
        <v>10</v>
      </c>
      <c r="BT20" s="366"/>
      <c r="BU20" s="367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28"/>
      <c r="CQ20" s="28"/>
      <c r="CR20" s="28"/>
      <c r="CS20" s="28"/>
      <c r="CT20" s="28"/>
      <c r="CU20" s="28"/>
      <c r="CV20" s="28"/>
      <c r="CW20" s="28"/>
      <c r="CX20" s="53" t="s">
        <v>66</v>
      </c>
      <c r="CY20" s="29"/>
      <c r="DB20" s="8" t="s">
        <v>269</v>
      </c>
      <c r="DF20" s="262"/>
      <c r="DG20" s="262"/>
      <c r="DH20" s="262"/>
      <c r="DI20" s="262"/>
      <c r="DJ20" s="87"/>
      <c r="DK20" s="87"/>
      <c r="DL20" s="87"/>
      <c r="DN20" s="262"/>
      <c r="DO20" s="262"/>
      <c r="DP20" s="262"/>
      <c r="DQ20" s="262"/>
      <c r="DR20" s="87"/>
      <c r="DS20" s="87"/>
      <c r="DT20" s="87"/>
    </row>
    <row r="21" spans="1:180" ht="22.5" customHeight="1">
      <c r="A21" s="19"/>
      <c r="B21" s="51"/>
      <c r="C21" s="533" t="s">
        <v>181</v>
      </c>
      <c r="D21" s="533"/>
      <c r="E21" s="533"/>
      <c r="F21" s="533"/>
      <c r="G21" s="533"/>
      <c r="H21" s="533"/>
      <c r="I21" s="533"/>
      <c r="J21" s="533"/>
      <c r="K21" s="52"/>
      <c r="L21" s="534" t="s">
        <v>226</v>
      </c>
      <c r="M21" s="535"/>
      <c r="N21" s="535"/>
      <c r="O21" s="535"/>
      <c r="P21" s="535"/>
      <c r="Q21" s="535"/>
      <c r="R21" s="535"/>
      <c r="S21" s="535"/>
      <c r="T21" s="535"/>
      <c r="U21" s="535"/>
      <c r="V21" s="540" t="s">
        <v>48</v>
      </c>
      <c r="W21" s="540"/>
      <c r="X21" s="535" t="s">
        <v>226</v>
      </c>
      <c r="Y21" s="535"/>
      <c r="Z21" s="535"/>
      <c r="AA21" s="535"/>
      <c r="AB21" s="535"/>
      <c r="AC21" s="535"/>
      <c r="AD21" s="535"/>
      <c r="AE21" s="535"/>
      <c r="AF21" s="535"/>
      <c r="AG21" s="541"/>
      <c r="AH21" s="26"/>
      <c r="AJ21" s="184"/>
      <c r="AK21" s="184"/>
      <c r="AL21" s="184"/>
      <c r="AM21" s="184"/>
      <c r="AN21" s="184"/>
      <c r="AO21" s="184"/>
      <c r="AP21" s="184"/>
      <c r="AQ21" s="184"/>
      <c r="AR21" s="184"/>
      <c r="AS21" s="40"/>
      <c r="AT21" s="40"/>
      <c r="AU21" s="40"/>
      <c r="AV21" s="40"/>
      <c r="AW21" s="40"/>
      <c r="AX21" s="78"/>
      <c r="AZ21" s="78"/>
      <c r="BA21" s="78"/>
      <c r="BB21" s="40"/>
      <c r="BC21" s="40"/>
      <c r="BD21" s="40"/>
      <c r="BE21" s="40"/>
      <c r="BF21" s="40"/>
      <c r="BG21" s="40"/>
      <c r="BH21" s="40"/>
      <c r="BI21" s="185"/>
      <c r="BJ21" s="185"/>
      <c r="BK21" s="185"/>
      <c r="BL21" s="94"/>
      <c r="BM21" s="40"/>
      <c r="BN21" s="40"/>
      <c r="BO21" s="40"/>
      <c r="BP21" s="40"/>
      <c r="BQ21" s="40"/>
      <c r="BR21" s="40"/>
      <c r="BS21" s="185"/>
      <c r="BT21" s="185"/>
      <c r="BU21" s="185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28"/>
      <c r="CQ21" s="28"/>
      <c r="CR21" s="28"/>
      <c r="CS21" s="28"/>
      <c r="CT21" s="28"/>
      <c r="CU21" s="28"/>
      <c r="CV21" s="28"/>
      <c r="CW21" s="28"/>
      <c r="CX21" s="53"/>
      <c r="CY21" s="29"/>
      <c r="DB21" s="8" t="s">
        <v>270</v>
      </c>
      <c r="DF21" s="262"/>
      <c r="DG21" s="262"/>
      <c r="DH21" s="262"/>
      <c r="DI21" s="262"/>
      <c r="DJ21" s="87"/>
      <c r="DK21" s="87"/>
      <c r="DL21" s="87"/>
      <c r="DN21" s="262"/>
      <c r="DO21" s="262"/>
      <c r="DP21" s="262"/>
      <c r="DQ21" s="262"/>
      <c r="DR21" s="87"/>
      <c r="DS21" s="87"/>
      <c r="DT21" s="87"/>
    </row>
    <row r="22" spans="1:180" ht="22.5" customHeight="1">
      <c r="A22" s="19"/>
      <c r="B22" s="51"/>
      <c r="C22" s="486" t="s">
        <v>3</v>
      </c>
      <c r="D22" s="486"/>
      <c r="E22" s="486"/>
      <c r="F22" s="486"/>
      <c r="G22" s="486"/>
      <c r="H22" s="486"/>
      <c r="I22" s="486"/>
      <c r="J22" s="486"/>
      <c r="K22" s="52"/>
      <c r="L22" s="527" t="s">
        <v>72</v>
      </c>
      <c r="M22" s="528"/>
      <c r="N22" s="528"/>
      <c r="O22" s="528"/>
      <c r="P22" s="528"/>
      <c r="Q22" s="528"/>
      <c r="R22" s="528"/>
      <c r="S22" s="529"/>
      <c r="T22" s="527" t="s">
        <v>70</v>
      </c>
      <c r="U22" s="528"/>
      <c r="V22" s="528"/>
      <c r="W22" s="528"/>
      <c r="X22" s="528"/>
      <c r="Y22" s="528"/>
      <c r="Z22" s="529"/>
      <c r="AA22" s="527" t="s">
        <v>71</v>
      </c>
      <c r="AB22" s="528"/>
      <c r="AC22" s="528"/>
      <c r="AD22" s="528"/>
      <c r="AE22" s="528"/>
      <c r="AF22" s="528"/>
      <c r="AG22" s="529"/>
      <c r="AJ22" s="54" t="s">
        <v>55</v>
      </c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6"/>
      <c r="AW22" s="28"/>
      <c r="AX22" s="38" t="s">
        <v>56</v>
      </c>
      <c r="BA22" s="28"/>
      <c r="BB22" s="3"/>
      <c r="BC22" s="28"/>
      <c r="BE22" s="57" t="s">
        <v>60</v>
      </c>
      <c r="BG22" s="39"/>
      <c r="BH22" s="58"/>
      <c r="BI22" s="59"/>
      <c r="BJ22" s="28"/>
      <c r="BK22" s="60" t="s">
        <v>63</v>
      </c>
      <c r="BL22" s="61"/>
      <c r="BM22" s="28"/>
      <c r="BN22" s="39"/>
      <c r="BP22" s="40"/>
      <c r="BQ22" s="40"/>
      <c r="BR22" s="40"/>
      <c r="BS22" s="40"/>
      <c r="BT22" s="40"/>
      <c r="BU22" s="40"/>
      <c r="BV22" s="40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28"/>
      <c r="CO22" s="28"/>
      <c r="CP22" s="28"/>
      <c r="CQ22" s="28"/>
      <c r="CR22" s="28"/>
      <c r="CS22" s="28"/>
      <c r="CT22" s="28"/>
      <c r="CU22" s="28"/>
      <c r="CV22" s="62" t="s">
        <v>59</v>
      </c>
      <c r="CW22" s="28"/>
      <c r="CX22" s="28"/>
      <c r="CY22" s="29"/>
      <c r="DF22" s="262"/>
      <c r="DG22" s="262"/>
      <c r="DH22" s="262"/>
      <c r="DI22" s="262"/>
      <c r="DJ22" s="87"/>
      <c r="DK22" s="87"/>
      <c r="DL22" s="87"/>
      <c r="DN22" s="262"/>
      <c r="DO22" s="262"/>
      <c r="DP22" s="262"/>
      <c r="DQ22" s="262"/>
      <c r="DR22" s="87"/>
      <c r="DS22" s="87"/>
      <c r="DT22" s="87"/>
    </row>
    <row r="23" spans="1:180" ht="22.5" customHeight="1">
      <c r="A23" s="19"/>
      <c r="B23" s="507"/>
      <c r="C23" s="484" t="s">
        <v>4</v>
      </c>
      <c r="D23" s="484"/>
      <c r="E23" s="484"/>
      <c r="F23" s="484"/>
      <c r="G23" s="484"/>
      <c r="H23" s="484"/>
      <c r="I23" s="484"/>
      <c r="J23" s="484"/>
      <c r="K23" s="509"/>
      <c r="L23" s="512" t="s">
        <v>227</v>
      </c>
      <c r="M23" s="513"/>
      <c r="N23" s="513"/>
      <c r="O23" s="513"/>
      <c r="P23" s="513"/>
      <c r="Q23" s="513"/>
      <c r="R23" s="513"/>
      <c r="S23" s="513"/>
      <c r="T23" s="513"/>
      <c r="U23" s="513"/>
      <c r="V23" s="513"/>
      <c r="W23" s="513"/>
      <c r="X23" s="513"/>
      <c r="Y23" s="513"/>
      <c r="Z23" s="513"/>
      <c r="AA23" s="513"/>
      <c r="AB23" s="513"/>
      <c r="AC23" s="513"/>
      <c r="AD23" s="513"/>
      <c r="AE23" s="513"/>
      <c r="AF23" s="63"/>
      <c r="AG23" s="64"/>
      <c r="AH23" s="24"/>
      <c r="AI23" s="28"/>
      <c r="AJ23" s="263" t="s">
        <v>238</v>
      </c>
      <c r="AK23" s="557" t="s">
        <v>239</v>
      </c>
      <c r="AL23" s="558"/>
      <c r="AM23" s="558"/>
      <c r="AN23" s="559"/>
      <c r="AO23" s="287" t="s">
        <v>62</v>
      </c>
      <c r="AP23" s="288"/>
      <c r="AQ23" s="289"/>
      <c r="AR23" s="502" t="s">
        <v>15</v>
      </c>
      <c r="AS23" s="288"/>
      <c r="AT23" s="288"/>
      <c r="AU23" s="288"/>
      <c r="AV23" s="289"/>
      <c r="AW23" s="65"/>
      <c r="AX23" s="352" t="s">
        <v>49</v>
      </c>
      <c r="AY23" s="353"/>
      <c r="AZ23" s="353"/>
      <c r="BA23" s="353"/>
      <c r="BB23" s="354"/>
      <c r="BC23" s="352" t="s">
        <v>61</v>
      </c>
      <c r="BD23" s="354"/>
      <c r="BE23" s="542" t="s">
        <v>51</v>
      </c>
      <c r="BF23" s="543"/>
      <c r="BG23" s="543"/>
      <c r="BH23" s="543"/>
      <c r="BI23" s="544"/>
      <c r="BJ23" s="59"/>
      <c r="BK23" s="285">
        <v>4</v>
      </c>
      <c r="BL23" s="280"/>
      <c r="BM23" s="280"/>
      <c r="BN23" s="280" t="s">
        <v>73</v>
      </c>
      <c r="BO23" s="281"/>
      <c r="BP23" s="285">
        <v>5</v>
      </c>
      <c r="BQ23" s="280"/>
      <c r="BR23" s="280"/>
      <c r="BS23" s="280" t="s">
        <v>73</v>
      </c>
      <c r="BT23" s="281"/>
      <c r="BU23" s="285">
        <v>6</v>
      </c>
      <c r="BV23" s="280"/>
      <c r="BW23" s="280"/>
      <c r="BX23" s="280" t="s">
        <v>73</v>
      </c>
      <c r="BY23" s="281"/>
      <c r="BZ23" s="285">
        <v>7</v>
      </c>
      <c r="CA23" s="280"/>
      <c r="CB23" s="280"/>
      <c r="CC23" s="280" t="s">
        <v>73</v>
      </c>
      <c r="CD23" s="281"/>
      <c r="CE23" s="285">
        <v>8</v>
      </c>
      <c r="CF23" s="280"/>
      <c r="CG23" s="280"/>
      <c r="CH23" s="280" t="s">
        <v>73</v>
      </c>
      <c r="CI23" s="281"/>
      <c r="CJ23" s="285">
        <v>9</v>
      </c>
      <c r="CK23" s="280"/>
      <c r="CL23" s="280"/>
      <c r="CM23" s="280" t="s">
        <v>73</v>
      </c>
      <c r="CN23" s="281"/>
      <c r="CO23" s="282" t="s">
        <v>50</v>
      </c>
      <c r="CP23" s="283"/>
      <c r="CQ23" s="283"/>
      <c r="CR23" s="283"/>
      <c r="CS23" s="284"/>
      <c r="CT23" s="374" t="s">
        <v>68</v>
      </c>
      <c r="CU23" s="375"/>
      <c r="CV23" s="375"/>
      <c r="CW23" s="375"/>
      <c r="CX23" s="376"/>
      <c r="CY23" s="29"/>
      <c r="DC23" s="263" t="s">
        <v>238</v>
      </c>
      <c r="DD23" s="557" t="s">
        <v>239</v>
      </c>
      <c r="DE23" s="558"/>
      <c r="DF23" s="558"/>
      <c r="DG23" s="559"/>
      <c r="DH23" s="287" t="s">
        <v>62</v>
      </c>
      <c r="DI23" s="288"/>
      <c r="DJ23" s="289"/>
      <c r="DK23" s="502" t="s">
        <v>15</v>
      </c>
      <c r="DL23" s="288"/>
      <c r="DM23" s="288"/>
      <c r="DN23" s="288"/>
      <c r="DO23" s="289"/>
      <c r="DP23" s="65"/>
      <c r="DQ23" s="352" t="s">
        <v>49</v>
      </c>
      <c r="DR23" s="353"/>
      <c r="DS23" s="353"/>
      <c r="DT23" s="353"/>
      <c r="DU23" s="354"/>
      <c r="DV23" s="352" t="s">
        <v>61</v>
      </c>
      <c r="DW23" s="354"/>
      <c r="DX23" s="542" t="s">
        <v>51</v>
      </c>
      <c r="DY23" s="543"/>
      <c r="DZ23" s="543"/>
      <c r="EA23" s="543"/>
      <c r="EB23" s="544"/>
      <c r="EC23" s="59"/>
      <c r="ED23" s="285"/>
      <c r="EE23" s="280"/>
      <c r="EF23" s="280"/>
      <c r="EG23" s="280" t="s">
        <v>73</v>
      </c>
      <c r="EH23" s="281"/>
      <c r="EI23" s="285"/>
      <c r="EJ23" s="280"/>
      <c r="EK23" s="280"/>
      <c r="EL23" s="280" t="s">
        <v>73</v>
      </c>
      <c r="EM23" s="281"/>
      <c r="EN23" s="285"/>
      <c r="EO23" s="280"/>
      <c r="EP23" s="280"/>
      <c r="EQ23" s="280" t="s">
        <v>73</v>
      </c>
      <c r="ER23" s="281"/>
      <c r="ES23" s="285"/>
      <c r="ET23" s="280"/>
      <c r="EU23" s="280"/>
      <c r="EV23" s="280" t="s">
        <v>73</v>
      </c>
      <c r="EW23" s="281"/>
      <c r="EX23" s="285"/>
      <c r="EY23" s="280"/>
      <c r="EZ23" s="280"/>
      <c r="FA23" s="280" t="s">
        <v>73</v>
      </c>
      <c r="FB23" s="281"/>
      <c r="FC23" s="285"/>
      <c r="FD23" s="280"/>
      <c r="FE23" s="280"/>
      <c r="FF23" s="280" t="s">
        <v>73</v>
      </c>
      <c r="FG23" s="281"/>
      <c r="FH23" s="282" t="s">
        <v>50</v>
      </c>
      <c r="FI23" s="283"/>
      <c r="FJ23" s="283"/>
      <c r="FK23" s="283"/>
      <c r="FL23" s="284"/>
      <c r="FM23" s="374" t="s">
        <v>68</v>
      </c>
      <c r="FN23" s="375"/>
      <c r="FO23" s="375"/>
      <c r="FP23" s="375"/>
      <c r="FQ23" s="376"/>
      <c r="FR23" s="65"/>
      <c r="FS23" s="65"/>
      <c r="FT23" s="266"/>
      <c r="FU23" s="266"/>
      <c r="FV23" s="266"/>
      <c r="FW23" s="266"/>
      <c r="FX23" s="266"/>
    </row>
    <row r="24" spans="1:180" ht="22.5" customHeight="1">
      <c r="A24" s="19"/>
      <c r="B24" s="508"/>
      <c r="C24" s="483"/>
      <c r="D24" s="483"/>
      <c r="E24" s="483"/>
      <c r="F24" s="483"/>
      <c r="G24" s="483"/>
      <c r="H24" s="483"/>
      <c r="I24" s="483"/>
      <c r="J24" s="483"/>
      <c r="K24" s="510"/>
      <c r="L24" s="514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 s="66"/>
      <c r="AG24" s="67"/>
      <c r="AH24" s="24"/>
      <c r="AI24" s="28"/>
      <c r="AJ24" s="253">
        <v>1</v>
      </c>
      <c r="AK24" s="554" t="s">
        <v>247</v>
      </c>
      <c r="AL24" s="555"/>
      <c r="AM24" s="555"/>
      <c r="AN24" s="556"/>
      <c r="AO24" s="295" t="s">
        <v>252</v>
      </c>
      <c r="AP24" s="296"/>
      <c r="AQ24" s="297"/>
      <c r="AR24" s="301">
        <v>500000</v>
      </c>
      <c r="AS24" s="302"/>
      <c r="AT24" s="302"/>
      <c r="AU24" s="302"/>
      <c r="AV24" s="303"/>
      <c r="AW24" s="68"/>
      <c r="AX24" s="290">
        <v>450000</v>
      </c>
      <c r="AY24" s="291"/>
      <c r="AZ24" s="291"/>
      <c r="BA24" s="291"/>
      <c r="BB24" s="292"/>
      <c r="BC24" s="293"/>
      <c r="BD24" s="294"/>
      <c r="BE24" s="346">
        <f t="shared" ref="BE24:BE36" si="0">AR24-AX24</f>
        <v>50000</v>
      </c>
      <c r="BF24" s="347"/>
      <c r="BG24" s="347"/>
      <c r="BH24" s="347"/>
      <c r="BI24" s="348"/>
      <c r="BJ24" s="69"/>
      <c r="BK24" s="274">
        <v>250000</v>
      </c>
      <c r="BL24" s="275"/>
      <c r="BM24" s="275"/>
      <c r="BN24" s="275"/>
      <c r="BO24" s="276"/>
      <c r="BP24" s="274"/>
      <c r="BQ24" s="275"/>
      <c r="BR24" s="275"/>
      <c r="BS24" s="275"/>
      <c r="BT24" s="276"/>
      <c r="BU24" s="274"/>
      <c r="BV24" s="275"/>
      <c r="BW24" s="275"/>
      <c r="BX24" s="275"/>
      <c r="BY24" s="276"/>
      <c r="BZ24" s="274"/>
      <c r="CA24" s="275"/>
      <c r="CB24" s="275"/>
      <c r="CC24" s="275"/>
      <c r="CD24" s="276"/>
      <c r="CE24" s="274"/>
      <c r="CF24" s="275"/>
      <c r="CG24" s="275"/>
      <c r="CH24" s="275"/>
      <c r="CI24" s="276"/>
      <c r="CJ24" s="274">
        <v>200000</v>
      </c>
      <c r="CK24" s="275"/>
      <c r="CL24" s="275"/>
      <c r="CM24" s="275"/>
      <c r="CN24" s="276"/>
      <c r="CO24" s="277">
        <f>SUM(BK24:CN24)</f>
        <v>450000</v>
      </c>
      <c r="CP24" s="278"/>
      <c r="CQ24" s="278"/>
      <c r="CR24" s="278"/>
      <c r="CS24" s="279"/>
      <c r="CT24" s="335" t="str">
        <f t="shared" ref="CT24:CT36" si="1">IF(DA24,AX24-CO24,"-")</f>
        <v>-</v>
      </c>
      <c r="CU24" s="336"/>
      <c r="CV24" s="336"/>
      <c r="CW24" s="336"/>
      <c r="CX24" s="337"/>
      <c r="CY24" s="29"/>
      <c r="DA24" s="8" t="b">
        <v>0</v>
      </c>
      <c r="DC24" s="253">
        <v>14</v>
      </c>
      <c r="DD24" s="554"/>
      <c r="DE24" s="555"/>
      <c r="DF24" s="555"/>
      <c r="DG24" s="556"/>
      <c r="DH24" s="295"/>
      <c r="DI24" s="296"/>
      <c r="DJ24" s="297"/>
      <c r="DK24" s="301"/>
      <c r="DL24" s="302"/>
      <c r="DM24" s="302"/>
      <c r="DN24" s="302"/>
      <c r="DO24" s="303"/>
      <c r="DP24" s="68"/>
      <c r="DQ24" s="290"/>
      <c r="DR24" s="291"/>
      <c r="DS24" s="291"/>
      <c r="DT24" s="291"/>
      <c r="DU24" s="292"/>
      <c r="DV24" s="293"/>
      <c r="DW24" s="294"/>
      <c r="DX24" s="346">
        <f t="shared" ref="DX24:DX36" si="2">DK24-DQ24</f>
        <v>0</v>
      </c>
      <c r="DY24" s="347"/>
      <c r="DZ24" s="347"/>
      <c r="EA24" s="347"/>
      <c r="EB24" s="348"/>
      <c r="EC24" s="69"/>
      <c r="ED24" s="274"/>
      <c r="EE24" s="275"/>
      <c r="EF24" s="275"/>
      <c r="EG24" s="275"/>
      <c r="EH24" s="276"/>
      <c r="EI24" s="274"/>
      <c r="EJ24" s="275"/>
      <c r="EK24" s="275"/>
      <c r="EL24" s="275"/>
      <c r="EM24" s="276"/>
      <c r="EN24" s="274"/>
      <c r="EO24" s="275"/>
      <c r="EP24" s="275"/>
      <c r="EQ24" s="275"/>
      <c r="ER24" s="276"/>
      <c r="ES24" s="274"/>
      <c r="ET24" s="275"/>
      <c r="EU24" s="275"/>
      <c r="EV24" s="275"/>
      <c r="EW24" s="276"/>
      <c r="EX24" s="274"/>
      <c r="EY24" s="275"/>
      <c r="EZ24" s="275"/>
      <c r="FA24" s="275"/>
      <c r="FB24" s="276"/>
      <c r="FC24" s="274"/>
      <c r="FD24" s="275"/>
      <c r="FE24" s="275"/>
      <c r="FF24" s="275"/>
      <c r="FG24" s="276"/>
      <c r="FH24" s="277">
        <f>SUM(ED24:FG24)</f>
        <v>0</v>
      </c>
      <c r="FI24" s="278"/>
      <c r="FJ24" s="278"/>
      <c r="FK24" s="278"/>
      <c r="FL24" s="279"/>
      <c r="FM24" s="335" t="str">
        <f t="shared" ref="FM24" si="3">IF(FT24,DQ24-FH24,"-")</f>
        <v>-</v>
      </c>
      <c r="FN24" s="336"/>
      <c r="FO24" s="336"/>
      <c r="FP24" s="336"/>
      <c r="FQ24" s="337"/>
      <c r="FR24" s="265"/>
      <c r="FS24" s="265"/>
      <c r="FT24" s="264"/>
      <c r="FU24" s="264"/>
      <c r="FV24" s="264"/>
      <c r="FW24" s="264"/>
      <c r="FX24" s="264"/>
    </row>
    <row r="25" spans="1:180" ht="22.5" customHeight="1">
      <c r="A25" s="19"/>
      <c r="B25" s="493" t="s">
        <v>74</v>
      </c>
      <c r="C25" s="494"/>
      <c r="D25" s="494"/>
      <c r="E25" s="494"/>
      <c r="F25" s="494"/>
      <c r="G25" s="494"/>
      <c r="H25" s="494"/>
      <c r="I25" s="494"/>
      <c r="J25" s="494"/>
      <c r="K25" s="494"/>
      <c r="L25" s="494"/>
      <c r="M25" s="494"/>
      <c r="N25" s="494"/>
      <c r="O25" s="494"/>
      <c r="P25" s="494"/>
      <c r="Q25" s="494"/>
      <c r="R25" s="494"/>
      <c r="S25" s="494"/>
      <c r="T25" s="494"/>
      <c r="U25" s="494"/>
      <c r="V25" s="494"/>
      <c r="W25" s="494"/>
      <c r="X25" s="494"/>
      <c r="Y25" s="494"/>
      <c r="Z25" s="494"/>
      <c r="AA25" s="494"/>
      <c r="AB25" s="494"/>
      <c r="AC25" s="494"/>
      <c r="AD25" s="494"/>
      <c r="AE25" s="494"/>
      <c r="AF25" s="494"/>
      <c r="AG25" s="495"/>
      <c r="AI25" s="28"/>
      <c r="AJ25" s="253">
        <v>2</v>
      </c>
      <c r="AK25" s="554" t="s">
        <v>248</v>
      </c>
      <c r="AL25" s="555"/>
      <c r="AM25" s="555"/>
      <c r="AN25" s="556"/>
      <c r="AO25" s="295" t="s">
        <v>251</v>
      </c>
      <c r="AP25" s="296"/>
      <c r="AQ25" s="297"/>
      <c r="AR25" s="301">
        <v>500000</v>
      </c>
      <c r="AS25" s="302"/>
      <c r="AT25" s="302"/>
      <c r="AU25" s="302"/>
      <c r="AV25" s="303"/>
      <c r="AW25" s="68"/>
      <c r="AX25" s="290">
        <v>450000</v>
      </c>
      <c r="AY25" s="291"/>
      <c r="AZ25" s="291"/>
      <c r="BA25" s="291"/>
      <c r="BB25" s="292"/>
      <c r="BC25" s="293"/>
      <c r="BD25" s="294"/>
      <c r="BE25" s="346">
        <f t="shared" si="0"/>
        <v>50000</v>
      </c>
      <c r="BF25" s="347"/>
      <c r="BG25" s="347"/>
      <c r="BH25" s="347"/>
      <c r="BI25" s="348"/>
      <c r="BJ25" s="69"/>
      <c r="BK25" s="274"/>
      <c r="BL25" s="275"/>
      <c r="BM25" s="275"/>
      <c r="BN25" s="275"/>
      <c r="BO25" s="276"/>
      <c r="BP25" s="274">
        <v>450000</v>
      </c>
      <c r="BQ25" s="275"/>
      <c r="BR25" s="275"/>
      <c r="BS25" s="275"/>
      <c r="BT25" s="276"/>
      <c r="BU25" s="274"/>
      <c r="BV25" s="275"/>
      <c r="BW25" s="275"/>
      <c r="BX25" s="275"/>
      <c r="BY25" s="276"/>
      <c r="BZ25" s="274"/>
      <c r="CA25" s="275"/>
      <c r="CB25" s="275"/>
      <c r="CC25" s="275"/>
      <c r="CD25" s="276"/>
      <c r="CE25" s="274"/>
      <c r="CF25" s="275"/>
      <c r="CG25" s="275"/>
      <c r="CH25" s="275"/>
      <c r="CI25" s="276"/>
      <c r="CJ25" s="274"/>
      <c r="CK25" s="275"/>
      <c r="CL25" s="275"/>
      <c r="CM25" s="275"/>
      <c r="CN25" s="276"/>
      <c r="CO25" s="277">
        <f t="shared" ref="CO25:CO36" si="4">SUM(BK25:CN25)</f>
        <v>450000</v>
      </c>
      <c r="CP25" s="278"/>
      <c r="CQ25" s="278"/>
      <c r="CR25" s="278"/>
      <c r="CS25" s="279"/>
      <c r="CT25" s="335" t="str">
        <f>IF(DA25,AX25-CO25,"-")</f>
        <v>-</v>
      </c>
      <c r="CU25" s="336"/>
      <c r="CV25" s="336"/>
      <c r="CW25" s="336"/>
      <c r="CX25" s="337"/>
      <c r="CY25" s="29"/>
      <c r="DA25" s="8" t="b">
        <v>0</v>
      </c>
      <c r="DC25" s="253">
        <v>15</v>
      </c>
      <c r="DD25" s="554"/>
      <c r="DE25" s="555"/>
      <c r="DF25" s="555"/>
      <c r="DG25" s="556"/>
      <c r="DH25" s="295"/>
      <c r="DI25" s="296"/>
      <c r="DJ25" s="297"/>
      <c r="DK25" s="301"/>
      <c r="DL25" s="302"/>
      <c r="DM25" s="302"/>
      <c r="DN25" s="302"/>
      <c r="DO25" s="303"/>
      <c r="DP25" s="68"/>
      <c r="DQ25" s="290"/>
      <c r="DR25" s="291"/>
      <c r="DS25" s="291"/>
      <c r="DT25" s="291"/>
      <c r="DU25" s="292"/>
      <c r="DV25" s="293"/>
      <c r="DW25" s="294"/>
      <c r="DX25" s="346">
        <f t="shared" si="2"/>
        <v>0</v>
      </c>
      <c r="DY25" s="347"/>
      <c r="DZ25" s="347"/>
      <c r="EA25" s="347"/>
      <c r="EB25" s="348"/>
      <c r="EC25" s="69"/>
      <c r="ED25" s="274"/>
      <c r="EE25" s="275"/>
      <c r="EF25" s="275"/>
      <c r="EG25" s="275"/>
      <c r="EH25" s="276"/>
      <c r="EI25" s="274"/>
      <c r="EJ25" s="275"/>
      <c r="EK25" s="275"/>
      <c r="EL25" s="275"/>
      <c r="EM25" s="276"/>
      <c r="EN25" s="274"/>
      <c r="EO25" s="275"/>
      <c r="EP25" s="275"/>
      <c r="EQ25" s="275"/>
      <c r="ER25" s="276"/>
      <c r="ES25" s="274"/>
      <c r="ET25" s="275"/>
      <c r="EU25" s="275"/>
      <c r="EV25" s="275"/>
      <c r="EW25" s="276"/>
      <c r="EX25" s="274"/>
      <c r="EY25" s="275"/>
      <c r="EZ25" s="275"/>
      <c r="FA25" s="275"/>
      <c r="FB25" s="276"/>
      <c r="FC25" s="274"/>
      <c r="FD25" s="275"/>
      <c r="FE25" s="275"/>
      <c r="FF25" s="275"/>
      <c r="FG25" s="276"/>
      <c r="FH25" s="277">
        <f t="shared" ref="FH25:FH36" si="5">SUM(ED25:FG25)</f>
        <v>0</v>
      </c>
      <c r="FI25" s="278"/>
      <c r="FJ25" s="278"/>
      <c r="FK25" s="278"/>
      <c r="FL25" s="279"/>
      <c r="FM25" s="335" t="str">
        <f>IF(FT25,DQ25-FH25,"-")</f>
        <v>-</v>
      </c>
      <c r="FN25" s="336"/>
      <c r="FO25" s="336"/>
      <c r="FP25" s="336"/>
      <c r="FQ25" s="337"/>
      <c r="FR25" s="265"/>
      <c r="FS25" s="265"/>
      <c r="FT25" s="264"/>
      <c r="FU25" s="264"/>
      <c r="FV25" s="264"/>
      <c r="FW25" s="264"/>
      <c r="FX25" s="264"/>
    </row>
    <row r="26" spans="1:180" ht="22.5" customHeight="1">
      <c r="A26" s="19"/>
      <c r="B26" s="306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8"/>
      <c r="AH26" s="28"/>
      <c r="AI26" s="28"/>
      <c r="AJ26" s="253">
        <v>3</v>
      </c>
      <c r="AK26" s="554" t="s">
        <v>249</v>
      </c>
      <c r="AL26" s="555"/>
      <c r="AM26" s="555"/>
      <c r="AN26" s="556"/>
      <c r="AO26" s="295" t="s">
        <v>253</v>
      </c>
      <c r="AP26" s="296"/>
      <c r="AQ26" s="297"/>
      <c r="AR26" s="301">
        <v>500000</v>
      </c>
      <c r="AS26" s="302"/>
      <c r="AT26" s="302"/>
      <c r="AU26" s="302"/>
      <c r="AV26" s="303"/>
      <c r="AW26" s="68"/>
      <c r="AX26" s="290">
        <v>480000</v>
      </c>
      <c r="AY26" s="291"/>
      <c r="AZ26" s="291"/>
      <c r="BA26" s="291"/>
      <c r="BB26" s="292"/>
      <c r="BC26" s="293"/>
      <c r="BD26" s="294"/>
      <c r="BE26" s="346">
        <f t="shared" si="0"/>
        <v>20000</v>
      </c>
      <c r="BF26" s="347"/>
      <c r="BG26" s="347"/>
      <c r="BH26" s="347"/>
      <c r="BI26" s="348"/>
      <c r="BJ26" s="69"/>
      <c r="BK26" s="274"/>
      <c r="BL26" s="275"/>
      <c r="BM26" s="275"/>
      <c r="BN26" s="275"/>
      <c r="BO26" s="276"/>
      <c r="BP26" s="274"/>
      <c r="BQ26" s="275"/>
      <c r="BR26" s="275"/>
      <c r="BS26" s="275"/>
      <c r="BT26" s="276"/>
      <c r="BU26" s="274">
        <v>480000</v>
      </c>
      <c r="BV26" s="275"/>
      <c r="BW26" s="275"/>
      <c r="BX26" s="275"/>
      <c r="BY26" s="276"/>
      <c r="BZ26" s="274"/>
      <c r="CA26" s="275"/>
      <c r="CB26" s="275"/>
      <c r="CC26" s="275"/>
      <c r="CD26" s="276"/>
      <c r="CE26" s="274"/>
      <c r="CF26" s="275"/>
      <c r="CG26" s="275"/>
      <c r="CH26" s="275"/>
      <c r="CI26" s="276"/>
      <c r="CJ26" s="274"/>
      <c r="CK26" s="275"/>
      <c r="CL26" s="275"/>
      <c r="CM26" s="275"/>
      <c r="CN26" s="276"/>
      <c r="CO26" s="277">
        <f t="shared" si="4"/>
        <v>480000</v>
      </c>
      <c r="CP26" s="278"/>
      <c r="CQ26" s="278"/>
      <c r="CR26" s="278"/>
      <c r="CS26" s="279"/>
      <c r="CT26" s="335" t="str">
        <f>IF(DA26,AX26-CO26,"-")</f>
        <v>-</v>
      </c>
      <c r="CU26" s="336"/>
      <c r="CV26" s="336"/>
      <c r="CW26" s="336"/>
      <c r="CX26" s="337"/>
      <c r="CY26" s="29"/>
      <c r="DA26" s="8" t="b">
        <v>0</v>
      </c>
      <c r="DC26" s="253">
        <v>16</v>
      </c>
      <c r="DD26" s="554"/>
      <c r="DE26" s="555"/>
      <c r="DF26" s="555"/>
      <c r="DG26" s="556"/>
      <c r="DH26" s="295"/>
      <c r="DI26" s="296"/>
      <c r="DJ26" s="297"/>
      <c r="DK26" s="301"/>
      <c r="DL26" s="302"/>
      <c r="DM26" s="302"/>
      <c r="DN26" s="302"/>
      <c r="DO26" s="303"/>
      <c r="DP26" s="68"/>
      <c r="DQ26" s="290"/>
      <c r="DR26" s="291"/>
      <c r="DS26" s="291"/>
      <c r="DT26" s="291"/>
      <c r="DU26" s="292"/>
      <c r="DV26" s="293"/>
      <c r="DW26" s="294"/>
      <c r="DX26" s="346">
        <f t="shared" si="2"/>
        <v>0</v>
      </c>
      <c r="DY26" s="347"/>
      <c r="DZ26" s="347"/>
      <c r="EA26" s="347"/>
      <c r="EB26" s="348"/>
      <c r="EC26" s="69"/>
      <c r="ED26" s="274"/>
      <c r="EE26" s="275"/>
      <c r="EF26" s="275"/>
      <c r="EG26" s="275"/>
      <c r="EH26" s="276"/>
      <c r="EI26" s="274"/>
      <c r="EJ26" s="275"/>
      <c r="EK26" s="275"/>
      <c r="EL26" s="275"/>
      <c r="EM26" s="276"/>
      <c r="EN26" s="274"/>
      <c r="EO26" s="275"/>
      <c r="EP26" s="275"/>
      <c r="EQ26" s="275"/>
      <c r="ER26" s="276"/>
      <c r="ES26" s="274"/>
      <c r="ET26" s="275"/>
      <c r="EU26" s="275"/>
      <c r="EV26" s="275"/>
      <c r="EW26" s="276"/>
      <c r="EX26" s="274"/>
      <c r="EY26" s="275"/>
      <c r="EZ26" s="275"/>
      <c r="FA26" s="275"/>
      <c r="FB26" s="276"/>
      <c r="FC26" s="274"/>
      <c r="FD26" s="275"/>
      <c r="FE26" s="275"/>
      <c r="FF26" s="275"/>
      <c r="FG26" s="276"/>
      <c r="FH26" s="277">
        <f t="shared" si="5"/>
        <v>0</v>
      </c>
      <c r="FI26" s="278"/>
      <c r="FJ26" s="278"/>
      <c r="FK26" s="278"/>
      <c r="FL26" s="279"/>
      <c r="FM26" s="335" t="str">
        <f>IF(FT26,DQ26-FH26,"-")</f>
        <v>-</v>
      </c>
      <c r="FN26" s="336"/>
      <c r="FO26" s="336"/>
      <c r="FP26" s="336"/>
      <c r="FQ26" s="337"/>
      <c r="FR26" s="265"/>
      <c r="FS26" s="265"/>
      <c r="FT26" s="264"/>
      <c r="FU26" s="264"/>
      <c r="FV26" s="264"/>
      <c r="FW26" s="264"/>
      <c r="FX26" s="264"/>
    </row>
    <row r="27" spans="1:180" ht="22.5" customHeight="1">
      <c r="A27" s="19"/>
      <c r="B27" s="306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  <c r="AG27" s="308"/>
      <c r="AH27" s="497"/>
      <c r="AI27" s="498"/>
      <c r="AJ27" s="253">
        <v>4</v>
      </c>
      <c r="AK27" s="554" t="s">
        <v>250</v>
      </c>
      <c r="AL27" s="555"/>
      <c r="AM27" s="555"/>
      <c r="AN27" s="556"/>
      <c r="AO27" s="295" t="s">
        <v>254</v>
      </c>
      <c r="AP27" s="296"/>
      <c r="AQ27" s="297"/>
      <c r="AR27" s="301">
        <v>800000</v>
      </c>
      <c r="AS27" s="302"/>
      <c r="AT27" s="302"/>
      <c r="AU27" s="302"/>
      <c r="AV27" s="303"/>
      <c r="AW27" s="68"/>
      <c r="AX27" s="290">
        <v>700000</v>
      </c>
      <c r="AY27" s="291"/>
      <c r="AZ27" s="291"/>
      <c r="BA27" s="291"/>
      <c r="BB27" s="292"/>
      <c r="BC27" s="293"/>
      <c r="BD27" s="294"/>
      <c r="BE27" s="346">
        <f t="shared" si="0"/>
        <v>100000</v>
      </c>
      <c r="BF27" s="347"/>
      <c r="BG27" s="347"/>
      <c r="BH27" s="347"/>
      <c r="BI27" s="348"/>
      <c r="BJ27" s="69"/>
      <c r="BK27" s="274"/>
      <c r="BL27" s="275"/>
      <c r="BM27" s="275"/>
      <c r="BN27" s="275"/>
      <c r="BO27" s="276"/>
      <c r="BP27" s="274"/>
      <c r="BQ27" s="275"/>
      <c r="BR27" s="275"/>
      <c r="BS27" s="275"/>
      <c r="BT27" s="276"/>
      <c r="BU27" s="274"/>
      <c r="BV27" s="275"/>
      <c r="BW27" s="275"/>
      <c r="BX27" s="275"/>
      <c r="BY27" s="276"/>
      <c r="BZ27" s="274">
        <v>400000</v>
      </c>
      <c r="CA27" s="275"/>
      <c r="CB27" s="275"/>
      <c r="CC27" s="275"/>
      <c r="CD27" s="276"/>
      <c r="CE27" s="274">
        <v>300000</v>
      </c>
      <c r="CF27" s="275"/>
      <c r="CG27" s="275"/>
      <c r="CH27" s="275"/>
      <c r="CI27" s="276"/>
      <c r="CJ27" s="274"/>
      <c r="CK27" s="275"/>
      <c r="CL27" s="275"/>
      <c r="CM27" s="275"/>
      <c r="CN27" s="276"/>
      <c r="CO27" s="277">
        <f t="shared" si="4"/>
        <v>700000</v>
      </c>
      <c r="CP27" s="278"/>
      <c r="CQ27" s="278"/>
      <c r="CR27" s="278"/>
      <c r="CS27" s="279"/>
      <c r="CT27" s="335" t="str">
        <f t="shared" si="1"/>
        <v>-</v>
      </c>
      <c r="CU27" s="336"/>
      <c r="CV27" s="336"/>
      <c r="CW27" s="336"/>
      <c r="CX27" s="337"/>
      <c r="CY27" s="29"/>
      <c r="DA27" s="8" t="b">
        <v>0</v>
      </c>
      <c r="DC27" s="253">
        <v>17</v>
      </c>
      <c r="DD27" s="554"/>
      <c r="DE27" s="555"/>
      <c r="DF27" s="555"/>
      <c r="DG27" s="556"/>
      <c r="DH27" s="298"/>
      <c r="DI27" s="299"/>
      <c r="DJ27" s="300"/>
      <c r="DK27" s="301"/>
      <c r="DL27" s="302"/>
      <c r="DM27" s="302"/>
      <c r="DN27" s="302"/>
      <c r="DO27" s="303"/>
      <c r="DP27" s="68"/>
      <c r="DQ27" s="290"/>
      <c r="DR27" s="291"/>
      <c r="DS27" s="291"/>
      <c r="DT27" s="291"/>
      <c r="DU27" s="292"/>
      <c r="DV27" s="293"/>
      <c r="DW27" s="294"/>
      <c r="DX27" s="346">
        <f t="shared" si="2"/>
        <v>0</v>
      </c>
      <c r="DY27" s="347"/>
      <c r="DZ27" s="347"/>
      <c r="EA27" s="347"/>
      <c r="EB27" s="348"/>
      <c r="EC27" s="69"/>
      <c r="ED27" s="274"/>
      <c r="EE27" s="275"/>
      <c r="EF27" s="275"/>
      <c r="EG27" s="275"/>
      <c r="EH27" s="276"/>
      <c r="EI27" s="274"/>
      <c r="EJ27" s="275"/>
      <c r="EK27" s="275"/>
      <c r="EL27" s="275"/>
      <c r="EM27" s="276"/>
      <c r="EN27" s="274"/>
      <c r="EO27" s="275"/>
      <c r="EP27" s="275"/>
      <c r="EQ27" s="275"/>
      <c r="ER27" s="276"/>
      <c r="ES27" s="274"/>
      <c r="ET27" s="275"/>
      <c r="EU27" s="275"/>
      <c r="EV27" s="275"/>
      <c r="EW27" s="276"/>
      <c r="EX27" s="274"/>
      <c r="EY27" s="275"/>
      <c r="EZ27" s="275"/>
      <c r="FA27" s="275"/>
      <c r="FB27" s="276"/>
      <c r="FC27" s="274"/>
      <c r="FD27" s="275"/>
      <c r="FE27" s="275"/>
      <c r="FF27" s="275"/>
      <c r="FG27" s="276"/>
      <c r="FH27" s="277">
        <f t="shared" si="5"/>
        <v>0</v>
      </c>
      <c r="FI27" s="278"/>
      <c r="FJ27" s="278"/>
      <c r="FK27" s="278"/>
      <c r="FL27" s="279"/>
      <c r="FM27" s="335" t="str">
        <f t="shared" ref="FM27:FM36" si="6">IF(FT27,DQ27-FH27,"-")</f>
        <v>-</v>
      </c>
      <c r="FN27" s="336"/>
      <c r="FO27" s="336"/>
      <c r="FP27" s="336"/>
      <c r="FQ27" s="337"/>
      <c r="FR27" s="265"/>
      <c r="FS27" s="265"/>
      <c r="FT27" s="264"/>
      <c r="FU27" s="264"/>
      <c r="FV27" s="264"/>
      <c r="FW27" s="264"/>
      <c r="FX27" s="264"/>
    </row>
    <row r="28" spans="1:180" ht="22.5" customHeight="1">
      <c r="A28" s="19"/>
      <c r="B28" s="250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2"/>
      <c r="AH28" s="312"/>
      <c r="AI28" s="313"/>
      <c r="AJ28" s="253">
        <v>5</v>
      </c>
      <c r="AK28" s="554" t="s">
        <v>228</v>
      </c>
      <c r="AL28" s="555"/>
      <c r="AM28" s="555"/>
      <c r="AN28" s="556"/>
      <c r="AO28" s="298"/>
      <c r="AP28" s="299"/>
      <c r="AQ28" s="300"/>
      <c r="AR28" s="301">
        <v>50000</v>
      </c>
      <c r="AS28" s="302"/>
      <c r="AT28" s="302"/>
      <c r="AU28" s="302"/>
      <c r="AV28" s="303"/>
      <c r="AW28" s="68"/>
      <c r="AX28" s="290">
        <v>30000</v>
      </c>
      <c r="AY28" s="291"/>
      <c r="AZ28" s="291"/>
      <c r="BA28" s="291"/>
      <c r="BB28" s="292"/>
      <c r="BC28" s="293"/>
      <c r="BD28" s="294"/>
      <c r="BE28" s="346">
        <f t="shared" si="0"/>
        <v>20000</v>
      </c>
      <c r="BF28" s="347"/>
      <c r="BG28" s="347"/>
      <c r="BH28" s="347"/>
      <c r="BI28" s="348"/>
      <c r="BJ28" s="69"/>
      <c r="BK28" s="274"/>
      <c r="BL28" s="275"/>
      <c r="BM28" s="275"/>
      <c r="BN28" s="275"/>
      <c r="BO28" s="276"/>
      <c r="BP28" s="274"/>
      <c r="BQ28" s="275"/>
      <c r="BR28" s="275"/>
      <c r="BS28" s="275"/>
      <c r="BT28" s="276"/>
      <c r="BU28" s="274"/>
      <c r="BV28" s="275"/>
      <c r="BW28" s="275"/>
      <c r="BX28" s="275"/>
      <c r="BY28" s="276"/>
      <c r="BZ28" s="274"/>
      <c r="CA28" s="275"/>
      <c r="CB28" s="275"/>
      <c r="CC28" s="275"/>
      <c r="CD28" s="276"/>
      <c r="CE28" s="274">
        <v>30000</v>
      </c>
      <c r="CF28" s="275"/>
      <c r="CG28" s="275"/>
      <c r="CH28" s="275"/>
      <c r="CI28" s="276"/>
      <c r="CJ28" s="274"/>
      <c r="CK28" s="275"/>
      <c r="CL28" s="275"/>
      <c r="CM28" s="275"/>
      <c r="CN28" s="276"/>
      <c r="CO28" s="277">
        <f t="shared" si="4"/>
        <v>30000</v>
      </c>
      <c r="CP28" s="278"/>
      <c r="CQ28" s="278"/>
      <c r="CR28" s="278"/>
      <c r="CS28" s="279"/>
      <c r="CT28" s="335" t="str">
        <f t="shared" si="1"/>
        <v>-</v>
      </c>
      <c r="CU28" s="336"/>
      <c r="CV28" s="336"/>
      <c r="CW28" s="336"/>
      <c r="CX28" s="337"/>
      <c r="CY28" s="29"/>
      <c r="DA28" s="8" t="b">
        <v>0</v>
      </c>
      <c r="DC28" s="253">
        <v>18</v>
      </c>
      <c r="DD28" s="554"/>
      <c r="DE28" s="555"/>
      <c r="DF28" s="555"/>
      <c r="DG28" s="556"/>
      <c r="DH28" s="298"/>
      <c r="DI28" s="299"/>
      <c r="DJ28" s="300"/>
      <c r="DK28" s="301"/>
      <c r="DL28" s="302"/>
      <c r="DM28" s="302"/>
      <c r="DN28" s="302"/>
      <c r="DO28" s="303"/>
      <c r="DP28" s="68"/>
      <c r="DQ28" s="290"/>
      <c r="DR28" s="291"/>
      <c r="DS28" s="291"/>
      <c r="DT28" s="291"/>
      <c r="DU28" s="292"/>
      <c r="DV28" s="293"/>
      <c r="DW28" s="294"/>
      <c r="DX28" s="346">
        <f t="shared" si="2"/>
        <v>0</v>
      </c>
      <c r="DY28" s="347"/>
      <c r="DZ28" s="347"/>
      <c r="EA28" s="347"/>
      <c r="EB28" s="348"/>
      <c r="EC28" s="69"/>
      <c r="ED28" s="274"/>
      <c r="EE28" s="275"/>
      <c r="EF28" s="275"/>
      <c r="EG28" s="275"/>
      <c r="EH28" s="276"/>
      <c r="EI28" s="274"/>
      <c r="EJ28" s="275"/>
      <c r="EK28" s="275"/>
      <c r="EL28" s="275"/>
      <c r="EM28" s="276"/>
      <c r="EN28" s="274"/>
      <c r="EO28" s="275"/>
      <c r="EP28" s="275"/>
      <c r="EQ28" s="275"/>
      <c r="ER28" s="276"/>
      <c r="ES28" s="274"/>
      <c r="ET28" s="275"/>
      <c r="EU28" s="275"/>
      <c r="EV28" s="275"/>
      <c r="EW28" s="276"/>
      <c r="EX28" s="274"/>
      <c r="EY28" s="275"/>
      <c r="EZ28" s="275"/>
      <c r="FA28" s="275"/>
      <c r="FB28" s="276"/>
      <c r="FC28" s="274"/>
      <c r="FD28" s="275"/>
      <c r="FE28" s="275"/>
      <c r="FF28" s="275"/>
      <c r="FG28" s="276"/>
      <c r="FH28" s="277">
        <f t="shared" si="5"/>
        <v>0</v>
      </c>
      <c r="FI28" s="278"/>
      <c r="FJ28" s="278"/>
      <c r="FK28" s="278"/>
      <c r="FL28" s="279"/>
      <c r="FM28" s="335" t="str">
        <f t="shared" si="6"/>
        <v>-</v>
      </c>
      <c r="FN28" s="336"/>
      <c r="FO28" s="336"/>
      <c r="FP28" s="336"/>
      <c r="FQ28" s="337"/>
      <c r="FR28" s="265"/>
      <c r="FS28" s="265"/>
      <c r="FT28" s="264"/>
      <c r="FU28" s="264"/>
      <c r="FV28" s="264"/>
      <c r="FW28" s="264"/>
      <c r="FX28" s="264"/>
    </row>
    <row r="29" spans="1:180" ht="22.5" customHeight="1">
      <c r="A29" s="19"/>
      <c r="B29" s="250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2"/>
      <c r="AH29" s="312"/>
      <c r="AI29" s="313"/>
      <c r="AJ29" s="253">
        <v>6</v>
      </c>
      <c r="AK29" s="554"/>
      <c r="AL29" s="555"/>
      <c r="AM29" s="555"/>
      <c r="AN29" s="556"/>
      <c r="AO29" s="298"/>
      <c r="AP29" s="299"/>
      <c r="AQ29" s="300"/>
      <c r="AR29" s="301"/>
      <c r="AS29" s="302"/>
      <c r="AT29" s="302"/>
      <c r="AU29" s="302"/>
      <c r="AV29" s="303"/>
      <c r="AW29" s="68"/>
      <c r="AX29" s="290"/>
      <c r="AY29" s="291"/>
      <c r="AZ29" s="291"/>
      <c r="BA29" s="291"/>
      <c r="BB29" s="292"/>
      <c r="BC29" s="293"/>
      <c r="BD29" s="294"/>
      <c r="BE29" s="346">
        <f t="shared" si="0"/>
        <v>0</v>
      </c>
      <c r="BF29" s="347"/>
      <c r="BG29" s="347"/>
      <c r="BH29" s="347"/>
      <c r="BI29" s="348"/>
      <c r="BJ29" s="69"/>
      <c r="BK29" s="274"/>
      <c r="BL29" s="275"/>
      <c r="BM29" s="275"/>
      <c r="BN29" s="275"/>
      <c r="BO29" s="276"/>
      <c r="BP29" s="274"/>
      <c r="BQ29" s="275"/>
      <c r="BR29" s="275"/>
      <c r="BS29" s="275"/>
      <c r="BT29" s="276"/>
      <c r="BU29" s="274"/>
      <c r="BV29" s="275"/>
      <c r="BW29" s="275"/>
      <c r="BX29" s="275"/>
      <c r="BY29" s="276"/>
      <c r="BZ29" s="274"/>
      <c r="CA29" s="275"/>
      <c r="CB29" s="275"/>
      <c r="CC29" s="275"/>
      <c r="CD29" s="276"/>
      <c r="CE29" s="274"/>
      <c r="CF29" s="275"/>
      <c r="CG29" s="275"/>
      <c r="CH29" s="275"/>
      <c r="CI29" s="276"/>
      <c r="CJ29" s="274"/>
      <c r="CK29" s="275"/>
      <c r="CL29" s="275"/>
      <c r="CM29" s="275"/>
      <c r="CN29" s="276"/>
      <c r="CO29" s="277">
        <f t="shared" si="4"/>
        <v>0</v>
      </c>
      <c r="CP29" s="278"/>
      <c r="CQ29" s="278"/>
      <c r="CR29" s="278"/>
      <c r="CS29" s="279"/>
      <c r="CT29" s="335" t="str">
        <f t="shared" si="1"/>
        <v>-</v>
      </c>
      <c r="CU29" s="336"/>
      <c r="CV29" s="336"/>
      <c r="CW29" s="336"/>
      <c r="CX29" s="337"/>
      <c r="CY29" s="29"/>
      <c r="DA29" s="8" t="b">
        <v>0</v>
      </c>
      <c r="DC29" s="253">
        <v>19</v>
      </c>
      <c r="DD29" s="554"/>
      <c r="DE29" s="555"/>
      <c r="DF29" s="555"/>
      <c r="DG29" s="556"/>
      <c r="DH29" s="298"/>
      <c r="DI29" s="299"/>
      <c r="DJ29" s="300"/>
      <c r="DK29" s="301"/>
      <c r="DL29" s="302"/>
      <c r="DM29" s="302"/>
      <c r="DN29" s="302"/>
      <c r="DO29" s="303"/>
      <c r="DP29" s="68"/>
      <c r="DQ29" s="290"/>
      <c r="DR29" s="291"/>
      <c r="DS29" s="291"/>
      <c r="DT29" s="291"/>
      <c r="DU29" s="292"/>
      <c r="DV29" s="293"/>
      <c r="DW29" s="294"/>
      <c r="DX29" s="346">
        <f t="shared" si="2"/>
        <v>0</v>
      </c>
      <c r="DY29" s="347"/>
      <c r="DZ29" s="347"/>
      <c r="EA29" s="347"/>
      <c r="EB29" s="348"/>
      <c r="EC29" s="69"/>
      <c r="ED29" s="274"/>
      <c r="EE29" s="275"/>
      <c r="EF29" s="275"/>
      <c r="EG29" s="275"/>
      <c r="EH29" s="276"/>
      <c r="EI29" s="274"/>
      <c r="EJ29" s="275"/>
      <c r="EK29" s="275"/>
      <c r="EL29" s="275"/>
      <c r="EM29" s="276"/>
      <c r="EN29" s="274"/>
      <c r="EO29" s="275"/>
      <c r="EP29" s="275"/>
      <c r="EQ29" s="275"/>
      <c r="ER29" s="276"/>
      <c r="ES29" s="274"/>
      <c r="ET29" s="275"/>
      <c r="EU29" s="275"/>
      <c r="EV29" s="275"/>
      <c r="EW29" s="276"/>
      <c r="EX29" s="274"/>
      <c r="EY29" s="275"/>
      <c r="EZ29" s="275"/>
      <c r="FA29" s="275"/>
      <c r="FB29" s="276"/>
      <c r="FC29" s="274"/>
      <c r="FD29" s="275"/>
      <c r="FE29" s="275"/>
      <c r="FF29" s="275"/>
      <c r="FG29" s="276"/>
      <c r="FH29" s="277">
        <f t="shared" si="5"/>
        <v>0</v>
      </c>
      <c r="FI29" s="278"/>
      <c r="FJ29" s="278"/>
      <c r="FK29" s="278"/>
      <c r="FL29" s="279"/>
      <c r="FM29" s="335" t="str">
        <f t="shared" si="6"/>
        <v>-</v>
      </c>
      <c r="FN29" s="336"/>
      <c r="FO29" s="336"/>
      <c r="FP29" s="336"/>
      <c r="FQ29" s="337"/>
      <c r="FR29" s="265"/>
      <c r="FS29" s="265"/>
      <c r="FT29" s="264"/>
      <c r="FU29" s="264"/>
      <c r="FV29" s="264"/>
      <c r="FW29" s="264"/>
      <c r="FX29" s="264"/>
    </row>
    <row r="30" spans="1:180" ht="22.5" customHeight="1">
      <c r="A30" s="19"/>
      <c r="B30" s="503"/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  <c r="N30" s="504"/>
      <c r="O30" s="504"/>
      <c r="P30" s="504"/>
      <c r="Q30" s="504"/>
      <c r="R30" s="504"/>
      <c r="S30" s="504"/>
      <c r="T30" s="504"/>
      <c r="U30" s="504"/>
      <c r="V30" s="504"/>
      <c r="W30" s="504"/>
      <c r="X30" s="504"/>
      <c r="Y30" s="504"/>
      <c r="Z30" s="504"/>
      <c r="AA30" s="504"/>
      <c r="AB30" s="504"/>
      <c r="AC30" s="504"/>
      <c r="AD30" s="504"/>
      <c r="AE30" s="504"/>
      <c r="AF30" s="504"/>
      <c r="AG30" s="505"/>
      <c r="AH30" s="312"/>
      <c r="AI30" s="313"/>
      <c r="AJ30" s="253">
        <v>7</v>
      </c>
      <c r="AK30" s="554"/>
      <c r="AL30" s="555"/>
      <c r="AM30" s="555"/>
      <c r="AN30" s="556"/>
      <c r="AO30" s="298"/>
      <c r="AP30" s="299"/>
      <c r="AQ30" s="300"/>
      <c r="AR30" s="301"/>
      <c r="AS30" s="302"/>
      <c r="AT30" s="302"/>
      <c r="AU30" s="302"/>
      <c r="AV30" s="303"/>
      <c r="AW30" s="68"/>
      <c r="AX30" s="290"/>
      <c r="AY30" s="291"/>
      <c r="AZ30" s="291"/>
      <c r="BA30" s="291"/>
      <c r="BB30" s="292"/>
      <c r="BC30" s="293"/>
      <c r="BD30" s="294"/>
      <c r="BE30" s="346">
        <f t="shared" si="0"/>
        <v>0</v>
      </c>
      <c r="BF30" s="347"/>
      <c r="BG30" s="347"/>
      <c r="BH30" s="347"/>
      <c r="BI30" s="348"/>
      <c r="BJ30" s="69"/>
      <c r="BK30" s="274"/>
      <c r="BL30" s="275"/>
      <c r="BM30" s="275"/>
      <c r="BN30" s="275"/>
      <c r="BO30" s="276"/>
      <c r="BP30" s="274"/>
      <c r="BQ30" s="275"/>
      <c r="BR30" s="275"/>
      <c r="BS30" s="275"/>
      <c r="BT30" s="276"/>
      <c r="BU30" s="274"/>
      <c r="BV30" s="275"/>
      <c r="BW30" s="275"/>
      <c r="BX30" s="275"/>
      <c r="BY30" s="276"/>
      <c r="BZ30" s="274"/>
      <c r="CA30" s="275"/>
      <c r="CB30" s="275"/>
      <c r="CC30" s="275"/>
      <c r="CD30" s="276"/>
      <c r="CE30" s="274"/>
      <c r="CF30" s="275"/>
      <c r="CG30" s="275"/>
      <c r="CH30" s="275"/>
      <c r="CI30" s="276"/>
      <c r="CJ30" s="274"/>
      <c r="CK30" s="275"/>
      <c r="CL30" s="275"/>
      <c r="CM30" s="275"/>
      <c r="CN30" s="276"/>
      <c r="CO30" s="277">
        <f t="shared" si="4"/>
        <v>0</v>
      </c>
      <c r="CP30" s="278"/>
      <c r="CQ30" s="278"/>
      <c r="CR30" s="278"/>
      <c r="CS30" s="279"/>
      <c r="CT30" s="335" t="str">
        <f t="shared" si="1"/>
        <v>-</v>
      </c>
      <c r="CU30" s="336"/>
      <c r="CV30" s="336"/>
      <c r="CW30" s="336"/>
      <c r="CX30" s="337"/>
      <c r="CY30" s="29"/>
      <c r="DA30" s="8" t="b">
        <v>0</v>
      </c>
      <c r="DC30" s="253">
        <v>20</v>
      </c>
      <c r="DD30" s="554"/>
      <c r="DE30" s="555"/>
      <c r="DF30" s="555"/>
      <c r="DG30" s="556"/>
      <c r="DH30" s="298"/>
      <c r="DI30" s="299"/>
      <c r="DJ30" s="300"/>
      <c r="DK30" s="301"/>
      <c r="DL30" s="302"/>
      <c r="DM30" s="302"/>
      <c r="DN30" s="302"/>
      <c r="DO30" s="303"/>
      <c r="DP30" s="68"/>
      <c r="DQ30" s="290"/>
      <c r="DR30" s="291"/>
      <c r="DS30" s="291"/>
      <c r="DT30" s="291"/>
      <c r="DU30" s="292"/>
      <c r="DV30" s="293"/>
      <c r="DW30" s="294"/>
      <c r="DX30" s="346">
        <f t="shared" si="2"/>
        <v>0</v>
      </c>
      <c r="DY30" s="347"/>
      <c r="DZ30" s="347"/>
      <c r="EA30" s="347"/>
      <c r="EB30" s="348"/>
      <c r="EC30" s="69"/>
      <c r="ED30" s="274"/>
      <c r="EE30" s="275"/>
      <c r="EF30" s="275"/>
      <c r="EG30" s="275"/>
      <c r="EH30" s="276"/>
      <c r="EI30" s="274"/>
      <c r="EJ30" s="275"/>
      <c r="EK30" s="275"/>
      <c r="EL30" s="275"/>
      <c r="EM30" s="276"/>
      <c r="EN30" s="274"/>
      <c r="EO30" s="275"/>
      <c r="EP30" s="275"/>
      <c r="EQ30" s="275"/>
      <c r="ER30" s="276"/>
      <c r="ES30" s="274"/>
      <c r="ET30" s="275"/>
      <c r="EU30" s="275"/>
      <c r="EV30" s="275"/>
      <c r="EW30" s="276"/>
      <c r="EX30" s="274"/>
      <c r="EY30" s="275"/>
      <c r="EZ30" s="275"/>
      <c r="FA30" s="275"/>
      <c r="FB30" s="276"/>
      <c r="FC30" s="274"/>
      <c r="FD30" s="275"/>
      <c r="FE30" s="275"/>
      <c r="FF30" s="275"/>
      <c r="FG30" s="276"/>
      <c r="FH30" s="277">
        <f t="shared" si="5"/>
        <v>0</v>
      </c>
      <c r="FI30" s="278"/>
      <c r="FJ30" s="278"/>
      <c r="FK30" s="278"/>
      <c r="FL30" s="279"/>
      <c r="FM30" s="335" t="str">
        <f t="shared" si="6"/>
        <v>-</v>
      </c>
      <c r="FN30" s="336"/>
      <c r="FO30" s="336"/>
      <c r="FP30" s="336"/>
      <c r="FQ30" s="337"/>
      <c r="FR30" s="265"/>
      <c r="FS30" s="265"/>
      <c r="FT30" s="264"/>
      <c r="FU30" s="264"/>
      <c r="FV30" s="264"/>
      <c r="FW30" s="264"/>
      <c r="FX30" s="264"/>
    </row>
    <row r="31" spans="1:180" ht="22.5" customHeight="1">
      <c r="A31" s="19"/>
      <c r="B31" s="503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5"/>
      <c r="AH31" s="312"/>
      <c r="AI31" s="313"/>
      <c r="AJ31" s="253">
        <v>8</v>
      </c>
      <c r="AK31" s="554"/>
      <c r="AL31" s="555"/>
      <c r="AM31" s="555"/>
      <c r="AN31" s="556"/>
      <c r="AO31" s="298"/>
      <c r="AP31" s="299"/>
      <c r="AQ31" s="300"/>
      <c r="AR31" s="301"/>
      <c r="AS31" s="302"/>
      <c r="AT31" s="302"/>
      <c r="AU31" s="302"/>
      <c r="AV31" s="303"/>
      <c r="AW31" s="68"/>
      <c r="AX31" s="290"/>
      <c r="AY31" s="291"/>
      <c r="AZ31" s="291"/>
      <c r="BA31" s="291"/>
      <c r="BB31" s="292"/>
      <c r="BC31" s="293"/>
      <c r="BD31" s="294"/>
      <c r="BE31" s="346">
        <f t="shared" si="0"/>
        <v>0</v>
      </c>
      <c r="BF31" s="347"/>
      <c r="BG31" s="347"/>
      <c r="BH31" s="347"/>
      <c r="BI31" s="348"/>
      <c r="BJ31" s="69"/>
      <c r="BK31" s="274"/>
      <c r="BL31" s="275"/>
      <c r="BM31" s="275"/>
      <c r="BN31" s="275"/>
      <c r="BO31" s="276"/>
      <c r="BP31" s="274"/>
      <c r="BQ31" s="275"/>
      <c r="BR31" s="275"/>
      <c r="BS31" s="275"/>
      <c r="BT31" s="276"/>
      <c r="BU31" s="274"/>
      <c r="BV31" s="275"/>
      <c r="BW31" s="275"/>
      <c r="BX31" s="275"/>
      <c r="BY31" s="276"/>
      <c r="BZ31" s="274"/>
      <c r="CA31" s="275"/>
      <c r="CB31" s="275"/>
      <c r="CC31" s="275"/>
      <c r="CD31" s="276"/>
      <c r="CE31" s="274"/>
      <c r="CF31" s="275"/>
      <c r="CG31" s="275"/>
      <c r="CH31" s="275"/>
      <c r="CI31" s="276"/>
      <c r="CJ31" s="274"/>
      <c r="CK31" s="275"/>
      <c r="CL31" s="275"/>
      <c r="CM31" s="275"/>
      <c r="CN31" s="276"/>
      <c r="CO31" s="277">
        <f t="shared" si="4"/>
        <v>0</v>
      </c>
      <c r="CP31" s="278"/>
      <c r="CQ31" s="278"/>
      <c r="CR31" s="278"/>
      <c r="CS31" s="279"/>
      <c r="CT31" s="335" t="str">
        <f t="shared" si="1"/>
        <v>-</v>
      </c>
      <c r="CU31" s="336"/>
      <c r="CV31" s="336"/>
      <c r="CW31" s="336"/>
      <c r="CX31" s="337"/>
      <c r="CY31" s="29"/>
      <c r="DA31" s="8" t="b">
        <v>0</v>
      </c>
      <c r="DC31" s="253">
        <v>21</v>
      </c>
      <c r="DD31" s="554"/>
      <c r="DE31" s="555"/>
      <c r="DF31" s="555"/>
      <c r="DG31" s="556"/>
      <c r="DH31" s="298"/>
      <c r="DI31" s="299"/>
      <c r="DJ31" s="300"/>
      <c r="DK31" s="301"/>
      <c r="DL31" s="302"/>
      <c r="DM31" s="302"/>
      <c r="DN31" s="302"/>
      <c r="DO31" s="303"/>
      <c r="DP31" s="68"/>
      <c r="DQ31" s="290"/>
      <c r="DR31" s="291"/>
      <c r="DS31" s="291"/>
      <c r="DT31" s="291"/>
      <c r="DU31" s="292"/>
      <c r="DV31" s="293"/>
      <c r="DW31" s="294"/>
      <c r="DX31" s="346">
        <f t="shared" si="2"/>
        <v>0</v>
      </c>
      <c r="DY31" s="347"/>
      <c r="DZ31" s="347"/>
      <c r="EA31" s="347"/>
      <c r="EB31" s="348"/>
      <c r="EC31" s="69"/>
      <c r="ED31" s="274"/>
      <c r="EE31" s="275"/>
      <c r="EF31" s="275"/>
      <c r="EG31" s="275"/>
      <c r="EH31" s="276"/>
      <c r="EI31" s="274"/>
      <c r="EJ31" s="275"/>
      <c r="EK31" s="275"/>
      <c r="EL31" s="275"/>
      <c r="EM31" s="276"/>
      <c r="EN31" s="274"/>
      <c r="EO31" s="275"/>
      <c r="EP31" s="275"/>
      <c r="EQ31" s="275"/>
      <c r="ER31" s="276"/>
      <c r="ES31" s="274"/>
      <c r="ET31" s="275"/>
      <c r="EU31" s="275"/>
      <c r="EV31" s="275"/>
      <c r="EW31" s="276"/>
      <c r="EX31" s="274"/>
      <c r="EY31" s="275"/>
      <c r="EZ31" s="275"/>
      <c r="FA31" s="275"/>
      <c r="FB31" s="276"/>
      <c r="FC31" s="274"/>
      <c r="FD31" s="275"/>
      <c r="FE31" s="275"/>
      <c r="FF31" s="275"/>
      <c r="FG31" s="276"/>
      <c r="FH31" s="277">
        <f t="shared" si="5"/>
        <v>0</v>
      </c>
      <c r="FI31" s="278"/>
      <c r="FJ31" s="278"/>
      <c r="FK31" s="278"/>
      <c r="FL31" s="279"/>
      <c r="FM31" s="335" t="str">
        <f t="shared" si="6"/>
        <v>-</v>
      </c>
      <c r="FN31" s="336"/>
      <c r="FO31" s="336"/>
      <c r="FP31" s="336"/>
      <c r="FQ31" s="337"/>
      <c r="FR31" s="265"/>
      <c r="FS31" s="265"/>
      <c r="FT31" s="264"/>
      <c r="FU31" s="264"/>
      <c r="FV31" s="264"/>
      <c r="FW31" s="264"/>
      <c r="FX31" s="264"/>
    </row>
    <row r="32" spans="1:180" ht="22.5" customHeight="1">
      <c r="A32" s="19"/>
      <c r="B32" s="503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5"/>
      <c r="AH32" s="312"/>
      <c r="AI32" s="313"/>
      <c r="AJ32" s="253">
        <v>9</v>
      </c>
      <c r="AK32" s="554"/>
      <c r="AL32" s="555"/>
      <c r="AM32" s="555"/>
      <c r="AN32" s="556"/>
      <c r="AO32" s="298"/>
      <c r="AP32" s="299"/>
      <c r="AQ32" s="300"/>
      <c r="AR32" s="301"/>
      <c r="AS32" s="302"/>
      <c r="AT32" s="302"/>
      <c r="AU32" s="302"/>
      <c r="AV32" s="303"/>
      <c r="AW32" s="68"/>
      <c r="AX32" s="290"/>
      <c r="AY32" s="291"/>
      <c r="AZ32" s="291"/>
      <c r="BA32" s="291"/>
      <c r="BB32" s="292"/>
      <c r="BC32" s="293"/>
      <c r="BD32" s="294"/>
      <c r="BE32" s="346">
        <f t="shared" si="0"/>
        <v>0</v>
      </c>
      <c r="BF32" s="347"/>
      <c r="BG32" s="347"/>
      <c r="BH32" s="347"/>
      <c r="BI32" s="348"/>
      <c r="BJ32" s="69"/>
      <c r="BK32" s="274"/>
      <c r="BL32" s="275"/>
      <c r="BM32" s="275"/>
      <c r="BN32" s="275"/>
      <c r="BO32" s="276"/>
      <c r="BP32" s="274"/>
      <c r="BQ32" s="275"/>
      <c r="BR32" s="275"/>
      <c r="BS32" s="275"/>
      <c r="BT32" s="276"/>
      <c r="BU32" s="274"/>
      <c r="BV32" s="275"/>
      <c r="BW32" s="275"/>
      <c r="BX32" s="275"/>
      <c r="BY32" s="276"/>
      <c r="BZ32" s="274"/>
      <c r="CA32" s="275"/>
      <c r="CB32" s="275"/>
      <c r="CC32" s="275"/>
      <c r="CD32" s="276"/>
      <c r="CE32" s="274"/>
      <c r="CF32" s="275"/>
      <c r="CG32" s="275"/>
      <c r="CH32" s="275"/>
      <c r="CI32" s="276"/>
      <c r="CJ32" s="274"/>
      <c r="CK32" s="275"/>
      <c r="CL32" s="275"/>
      <c r="CM32" s="275"/>
      <c r="CN32" s="276"/>
      <c r="CO32" s="277">
        <f t="shared" si="4"/>
        <v>0</v>
      </c>
      <c r="CP32" s="278"/>
      <c r="CQ32" s="278"/>
      <c r="CR32" s="278"/>
      <c r="CS32" s="279"/>
      <c r="CT32" s="335" t="str">
        <f t="shared" si="1"/>
        <v>-</v>
      </c>
      <c r="CU32" s="336"/>
      <c r="CV32" s="336"/>
      <c r="CW32" s="336"/>
      <c r="CX32" s="337"/>
      <c r="CY32" s="29"/>
      <c r="DA32" s="8" t="b">
        <v>0</v>
      </c>
      <c r="DC32" s="253">
        <v>22</v>
      </c>
      <c r="DD32" s="554"/>
      <c r="DE32" s="555"/>
      <c r="DF32" s="555"/>
      <c r="DG32" s="556"/>
      <c r="DH32" s="298"/>
      <c r="DI32" s="299"/>
      <c r="DJ32" s="300"/>
      <c r="DK32" s="301"/>
      <c r="DL32" s="302"/>
      <c r="DM32" s="302"/>
      <c r="DN32" s="302"/>
      <c r="DO32" s="303"/>
      <c r="DP32" s="68"/>
      <c r="DQ32" s="290"/>
      <c r="DR32" s="291"/>
      <c r="DS32" s="291"/>
      <c r="DT32" s="291"/>
      <c r="DU32" s="292"/>
      <c r="DV32" s="293"/>
      <c r="DW32" s="294"/>
      <c r="DX32" s="346">
        <f t="shared" si="2"/>
        <v>0</v>
      </c>
      <c r="DY32" s="347"/>
      <c r="DZ32" s="347"/>
      <c r="EA32" s="347"/>
      <c r="EB32" s="348"/>
      <c r="EC32" s="69"/>
      <c r="ED32" s="274"/>
      <c r="EE32" s="275"/>
      <c r="EF32" s="275"/>
      <c r="EG32" s="275"/>
      <c r="EH32" s="276"/>
      <c r="EI32" s="274"/>
      <c r="EJ32" s="275"/>
      <c r="EK32" s="275"/>
      <c r="EL32" s="275"/>
      <c r="EM32" s="276"/>
      <c r="EN32" s="274"/>
      <c r="EO32" s="275"/>
      <c r="EP32" s="275"/>
      <c r="EQ32" s="275"/>
      <c r="ER32" s="276"/>
      <c r="ES32" s="274"/>
      <c r="ET32" s="275"/>
      <c r="EU32" s="275"/>
      <c r="EV32" s="275"/>
      <c r="EW32" s="276"/>
      <c r="EX32" s="274"/>
      <c r="EY32" s="275"/>
      <c r="EZ32" s="275"/>
      <c r="FA32" s="275"/>
      <c r="FB32" s="276"/>
      <c r="FC32" s="274"/>
      <c r="FD32" s="275"/>
      <c r="FE32" s="275"/>
      <c r="FF32" s="275"/>
      <c r="FG32" s="276"/>
      <c r="FH32" s="277">
        <f t="shared" si="5"/>
        <v>0</v>
      </c>
      <c r="FI32" s="278"/>
      <c r="FJ32" s="278"/>
      <c r="FK32" s="278"/>
      <c r="FL32" s="279"/>
      <c r="FM32" s="335" t="str">
        <f t="shared" si="6"/>
        <v>-</v>
      </c>
      <c r="FN32" s="336"/>
      <c r="FO32" s="336"/>
      <c r="FP32" s="336"/>
      <c r="FQ32" s="337"/>
      <c r="FR32" s="265"/>
      <c r="FS32" s="265"/>
      <c r="FT32" s="264"/>
      <c r="FU32" s="264"/>
      <c r="FV32" s="264"/>
      <c r="FW32" s="264"/>
      <c r="FX32" s="264"/>
    </row>
    <row r="33" spans="1:180" ht="22.5" customHeight="1">
      <c r="A33" s="19"/>
      <c r="B33" s="30"/>
      <c r="C33" s="506" t="s">
        <v>5</v>
      </c>
      <c r="D33" s="506"/>
      <c r="E33" s="506"/>
      <c r="F33" s="506"/>
      <c r="G33" s="506"/>
      <c r="H33" s="506"/>
      <c r="I33" s="506"/>
      <c r="J33" s="506"/>
      <c r="K33" s="31"/>
      <c r="L33" s="70" t="s">
        <v>76</v>
      </c>
      <c r="M33" s="71"/>
      <c r="N33" s="71"/>
      <c r="O33" s="72"/>
      <c r="P33" s="304"/>
      <c r="Q33" s="305"/>
      <c r="R33" s="305"/>
      <c r="S33" s="73" t="s">
        <v>30</v>
      </c>
      <c r="T33" s="73"/>
      <c r="U33" s="73"/>
      <c r="V33" s="73"/>
      <c r="W33" s="73"/>
      <c r="X33" s="73" t="s">
        <v>31</v>
      </c>
      <c r="Y33" s="73"/>
      <c r="Z33" s="73"/>
      <c r="AA33" s="73"/>
      <c r="AB33" s="496"/>
      <c r="AC33" s="496"/>
      <c r="AD33" s="496"/>
      <c r="AE33" s="496"/>
      <c r="AF33" s="73" t="s">
        <v>35</v>
      </c>
      <c r="AG33" s="74"/>
      <c r="AH33" s="312"/>
      <c r="AI33" s="313"/>
      <c r="AJ33" s="253">
        <v>10</v>
      </c>
      <c r="AK33" s="554"/>
      <c r="AL33" s="555"/>
      <c r="AM33" s="555"/>
      <c r="AN33" s="556"/>
      <c r="AO33" s="298"/>
      <c r="AP33" s="299"/>
      <c r="AQ33" s="300"/>
      <c r="AR33" s="301"/>
      <c r="AS33" s="302"/>
      <c r="AT33" s="302"/>
      <c r="AU33" s="302"/>
      <c r="AV33" s="303"/>
      <c r="AW33" s="68"/>
      <c r="AX33" s="290"/>
      <c r="AY33" s="291"/>
      <c r="AZ33" s="291"/>
      <c r="BA33" s="291"/>
      <c r="BB33" s="292"/>
      <c r="BC33" s="293"/>
      <c r="BD33" s="294"/>
      <c r="BE33" s="346">
        <f t="shared" si="0"/>
        <v>0</v>
      </c>
      <c r="BF33" s="347"/>
      <c r="BG33" s="347"/>
      <c r="BH33" s="347"/>
      <c r="BI33" s="348"/>
      <c r="BJ33" s="69"/>
      <c r="BK33" s="274"/>
      <c r="BL33" s="275"/>
      <c r="BM33" s="275"/>
      <c r="BN33" s="275"/>
      <c r="BO33" s="276"/>
      <c r="BP33" s="274"/>
      <c r="BQ33" s="275"/>
      <c r="BR33" s="275"/>
      <c r="BS33" s="275"/>
      <c r="BT33" s="276"/>
      <c r="BU33" s="274"/>
      <c r="BV33" s="275"/>
      <c r="BW33" s="275"/>
      <c r="BX33" s="275"/>
      <c r="BY33" s="276"/>
      <c r="BZ33" s="274"/>
      <c r="CA33" s="275"/>
      <c r="CB33" s="275"/>
      <c r="CC33" s="275"/>
      <c r="CD33" s="276"/>
      <c r="CE33" s="274"/>
      <c r="CF33" s="275"/>
      <c r="CG33" s="275"/>
      <c r="CH33" s="275"/>
      <c r="CI33" s="276"/>
      <c r="CJ33" s="274"/>
      <c r="CK33" s="275"/>
      <c r="CL33" s="275"/>
      <c r="CM33" s="275"/>
      <c r="CN33" s="276"/>
      <c r="CO33" s="277">
        <f t="shared" si="4"/>
        <v>0</v>
      </c>
      <c r="CP33" s="278"/>
      <c r="CQ33" s="278"/>
      <c r="CR33" s="278"/>
      <c r="CS33" s="279"/>
      <c r="CT33" s="335" t="str">
        <f t="shared" si="1"/>
        <v>-</v>
      </c>
      <c r="CU33" s="336"/>
      <c r="CV33" s="336"/>
      <c r="CW33" s="336"/>
      <c r="CX33" s="337"/>
      <c r="CY33" s="29"/>
      <c r="DA33" s="8" t="b">
        <v>0</v>
      </c>
      <c r="DC33" s="253">
        <v>23</v>
      </c>
      <c r="DD33" s="554"/>
      <c r="DE33" s="555"/>
      <c r="DF33" s="555"/>
      <c r="DG33" s="556"/>
      <c r="DH33" s="298"/>
      <c r="DI33" s="299"/>
      <c r="DJ33" s="300"/>
      <c r="DK33" s="301"/>
      <c r="DL33" s="302"/>
      <c r="DM33" s="302"/>
      <c r="DN33" s="302"/>
      <c r="DO33" s="303"/>
      <c r="DP33" s="68"/>
      <c r="DQ33" s="290"/>
      <c r="DR33" s="291"/>
      <c r="DS33" s="291"/>
      <c r="DT33" s="291"/>
      <c r="DU33" s="292"/>
      <c r="DV33" s="293"/>
      <c r="DW33" s="294"/>
      <c r="DX33" s="346">
        <f t="shared" si="2"/>
        <v>0</v>
      </c>
      <c r="DY33" s="347"/>
      <c r="DZ33" s="347"/>
      <c r="EA33" s="347"/>
      <c r="EB33" s="348"/>
      <c r="EC33" s="69"/>
      <c r="ED33" s="274"/>
      <c r="EE33" s="275"/>
      <c r="EF33" s="275"/>
      <c r="EG33" s="275"/>
      <c r="EH33" s="276"/>
      <c r="EI33" s="274"/>
      <c r="EJ33" s="275"/>
      <c r="EK33" s="275"/>
      <c r="EL33" s="275"/>
      <c r="EM33" s="276"/>
      <c r="EN33" s="274"/>
      <c r="EO33" s="275"/>
      <c r="EP33" s="275"/>
      <c r="EQ33" s="275"/>
      <c r="ER33" s="276"/>
      <c r="ES33" s="274"/>
      <c r="ET33" s="275"/>
      <c r="EU33" s="275"/>
      <c r="EV33" s="275"/>
      <c r="EW33" s="276"/>
      <c r="EX33" s="274"/>
      <c r="EY33" s="275"/>
      <c r="EZ33" s="275"/>
      <c r="FA33" s="275"/>
      <c r="FB33" s="276"/>
      <c r="FC33" s="274"/>
      <c r="FD33" s="275"/>
      <c r="FE33" s="275"/>
      <c r="FF33" s="275"/>
      <c r="FG33" s="276"/>
      <c r="FH33" s="277">
        <f t="shared" si="5"/>
        <v>0</v>
      </c>
      <c r="FI33" s="278"/>
      <c r="FJ33" s="278"/>
      <c r="FK33" s="278"/>
      <c r="FL33" s="279"/>
      <c r="FM33" s="335" t="str">
        <f t="shared" si="6"/>
        <v>-</v>
      </c>
      <c r="FN33" s="336"/>
      <c r="FO33" s="336"/>
      <c r="FP33" s="336"/>
      <c r="FQ33" s="337"/>
      <c r="FR33" s="265"/>
      <c r="FS33" s="265"/>
      <c r="FT33" s="264"/>
      <c r="FU33" s="264"/>
      <c r="FV33" s="264"/>
      <c r="FW33" s="264"/>
      <c r="FX33" s="264"/>
    </row>
    <row r="34" spans="1:180" ht="22.5" customHeight="1">
      <c r="A34" s="19"/>
      <c r="B34" s="16"/>
      <c r="C34" s="309" t="s">
        <v>6</v>
      </c>
      <c r="D34" s="310"/>
      <c r="E34" s="310"/>
      <c r="F34" s="310"/>
      <c r="G34" s="310"/>
      <c r="H34" s="310"/>
      <c r="I34" s="310"/>
      <c r="J34" s="310"/>
      <c r="K34" s="75"/>
      <c r="L34" s="320" t="s">
        <v>7</v>
      </c>
      <c r="M34" s="321"/>
      <c r="N34" s="321"/>
      <c r="O34" s="321"/>
      <c r="P34" s="321"/>
      <c r="Q34" s="322"/>
      <c r="R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2"/>
      <c r="AE34" s="322"/>
      <c r="AF34" s="322"/>
      <c r="AG34" s="323"/>
      <c r="AH34" s="312"/>
      <c r="AI34" s="313"/>
      <c r="AJ34" s="253">
        <v>11</v>
      </c>
      <c r="AK34" s="554"/>
      <c r="AL34" s="555"/>
      <c r="AM34" s="555"/>
      <c r="AN34" s="556"/>
      <c r="AO34" s="298"/>
      <c r="AP34" s="299"/>
      <c r="AQ34" s="300"/>
      <c r="AR34" s="301"/>
      <c r="AS34" s="302"/>
      <c r="AT34" s="302"/>
      <c r="AU34" s="302"/>
      <c r="AV34" s="303"/>
      <c r="AW34" s="68"/>
      <c r="AX34" s="290"/>
      <c r="AY34" s="291"/>
      <c r="AZ34" s="291"/>
      <c r="BA34" s="291"/>
      <c r="BB34" s="292"/>
      <c r="BC34" s="293"/>
      <c r="BD34" s="294"/>
      <c r="BE34" s="346">
        <f t="shared" si="0"/>
        <v>0</v>
      </c>
      <c r="BF34" s="347"/>
      <c r="BG34" s="347"/>
      <c r="BH34" s="347"/>
      <c r="BI34" s="348"/>
      <c r="BJ34" s="69"/>
      <c r="BK34" s="274"/>
      <c r="BL34" s="275"/>
      <c r="BM34" s="275"/>
      <c r="BN34" s="275"/>
      <c r="BO34" s="276"/>
      <c r="BP34" s="274"/>
      <c r="BQ34" s="275"/>
      <c r="BR34" s="275"/>
      <c r="BS34" s="275"/>
      <c r="BT34" s="276"/>
      <c r="BU34" s="274"/>
      <c r="BV34" s="275"/>
      <c r="BW34" s="275"/>
      <c r="BX34" s="275"/>
      <c r="BY34" s="276"/>
      <c r="BZ34" s="274"/>
      <c r="CA34" s="275"/>
      <c r="CB34" s="275"/>
      <c r="CC34" s="275"/>
      <c r="CD34" s="276"/>
      <c r="CE34" s="274"/>
      <c r="CF34" s="275"/>
      <c r="CG34" s="275"/>
      <c r="CH34" s="275"/>
      <c r="CI34" s="276"/>
      <c r="CJ34" s="274"/>
      <c r="CK34" s="275"/>
      <c r="CL34" s="275"/>
      <c r="CM34" s="275"/>
      <c r="CN34" s="276"/>
      <c r="CO34" s="277">
        <f t="shared" si="4"/>
        <v>0</v>
      </c>
      <c r="CP34" s="278"/>
      <c r="CQ34" s="278"/>
      <c r="CR34" s="278"/>
      <c r="CS34" s="279"/>
      <c r="CT34" s="335" t="str">
        <f t="shared" si="1"/>
        <v>-</v>
      </c>
      <c r="CU34" s="336"/>
      <c r="CV34" s="336"/>
      <c r="CW34" s="336"/>
      <c r="CX34" s="337"/>
      <c r="CY34" s="29"/>
      <c r="DA34" s="8" t="b">
        <v>0</v>
      </c>
      <c r="DC34" s="253">
        <v>24</v>
      </c>
      <c r="DD34" s="554"/>
      <c r="DE34" s="555"/>
      <c r="DF34" s="555"/>
      <c r="DG34" s="556"/>
      <c r="DH34" s="298"/>
      <c r="DI34" s="299"/>
      <c r="DJ34" s="300"/>
      <c r="DK34" s="301"/>
      <c r="DL34" s="302"/>
      <c r="DM34" s="302"/>
      <c r="DN34" s="302"/>
      <c r="DO34" s="303"/>
      <c r="DP34" s="68"/>
      <c r="DQ34" s="290"/>
      <c r="DR34" s="291"/>
      <c r="DS34" s="291"/>
      <c r="DT34" s="291"/>
      <c r="DU34" s="292"/>
      <c r="DV34" s="293"/>
      <c r="DW34" s="294"/>
      <c r="DX34" s="346">
        <f t="shared" si="2"/>
        <v>0</v>
      </c>
      <c r="DY34" s="347"/>
      <c r="DZ34" s="347"/>
      <c r="EA34" s="347"/>
      <c r="EB34" s="348"/>
      <c r="EC34" s="69"/>
      <c r="ED34" s="274"/>
      <c r="EE34" s="275"/>
      <c r="EF34" s="275"/>
      <c r="EG34" s="275"/>
      <c r="EH34" s="276"/>
      <c r="EI34" s="274"/>
      <c r="EJ34" s="275"/>
      <c r="EK34" s="275"/>
      <c r="EL34" s="275"/>
      <c r="EM34" s="276"/>
      <c r="EN34" s="274"/>
      <c r="EO34" s="275"/>
      <c r="EP34" s="275"/>
      <c r="EQ34" s="275"/>
      <c r="ER34" s="276"/>
      <c r="ES34" s="274"/>
      <c r="ET34" s="275"/>
      <c r="EU34" s="275"/>
      <c r="EV34" s="275"/>
      <c r="EW34" s="276"/>
      <c r="EX34" s="274"/>
      <c r="EY34" s="275"/>
      <c r="EZ34" s="275"/>
      <c r="FA34" s="275"/>
      <c r="FB34" s="276"/>
      <c r="FC34" s="274"/>
      <c r="FD34" s="275"/>
      <c r="FE34" s="275"/>
      <c r="FF34" s="275"/>
      <c r="FG34" s="276"/>
      <c r="FH34" s="277">
        <f t="shared" si="5"/>
        <v>0</v>
      </c>
      <c r="FI34" s="278"/>
      <c r="FJ34" s="278"/>
      <c r="FK34" s="278"/>
      <c r="FL34" s="279"/>
      <c r="FM34" s="335" t="str">
        <f t="shared" si="6"/>
        <v>-</v>
      </c>
      <c r="FN34" s="336"/>
      <c r="FO34" s="336"/>
      <c r="FP34" s="336"/>
      <c r="FQ34" s="337"/>
      <c r="FR34" s="265"/>
      <c r="FS34" s="265"/>
      <c r="FT34" s="264"/>
      <c r="FU34" s="264"/>
      <c r="FV34" s="264"/>
      <c r="FW34" s="264"/>
      <c r="FX34" s="264"/>
    </row>
    <row r="35" spans="1:180" ht="22.5" customHeight="1">
      <c r="A35" s="19"/>
      <c r="B35" s="19"/>
      <c r="C35" s="324"/>
      <c r="D35" s="324"/>
      <c r="E35" s="324"/>
      <c r="F35" s="324"/>
      <c r="G35" s="324"/>
      <c r="H35" s="324"/>
      <c r="I35" s="324"/>
      <c r="J35" s="324"/>
      <c r="K35" s="76"/>
      <c r="L35" s="361" t="s">
        <v>29</v>
      </c>
      <c r="M35" s="362"/>
      <c r="N35" s="362"/>
      <c r="O35" s="362"/>
      <c r="P35" s="362"/>
      <c r="Q35" s="363"/>
      <c r="R35" s="363"/>
      <c r="S35" s="363"/>
      <c r="T35" s="363"/>
      <c r="U35" s="363"/>
      <c r="V35" s="363"/>
      <c r="W35" s="363"/>
      <c r="X35" s="363"/>
      <c r="Y35" s="363"/>
      <c r="Z35" s="363"/>
      <c r="AA35" s="363"/>
      <c r="AB35" s="363"/>
      <c r="AC35" s="363"/>
      <c r="AD35" s="363"/>
      <c r="AE35" s="363"/>
      <c r="AF35" s="363"/>
      <c r="AG35" s="364"/>
      <c r="AH35" s="312"/>
      <c r="AI35" s="314"/>
      <c r="AJ35" s="253">
        <v>12</v>
      </c>
      <c r="AK35" s="554"/>
      <c r="AL35" s="555"/>
      <c r="AM35" s="555"/>
      <c r="AN35" s="556"/>
      <c r="AO35" s="298"/>
      <c r="AP35" s="299"/>
      <c r="AQ35" s="300"/>
      <c r="AR35" s="301"/>
      <c r="AS35" s="302"/>
      <c r="AT35" s="302"/>
      <c r="AU35" s="302"/>
      <c r="AV35" s="303"/>
      <c r="AW35" s="68"/>
      <c r="AX35" s="290"/>
      <c r="AY35" s="291"/>
      <c r="AZ35" s="291"/>
      <c r="BA35" s="291"/>
      <c r="BB35" s="292"/>
      <c r="BC35" s="293"/>
      <c r="BD35" s="294"/>
      <c r="BE35" s="346">
        <f t="shared" si="0"/>
        <v>0</v>
      </c>
      <c r="BF35" s="347"/>
      <c r="BG35" s="347"/>
      <c r="BH35" s="347"/>
      <c r="BI35" s="348"/>
      <c r="BJ35" s="69"/>
      <c r="BK35" s="274"/>
      <c r="BL35" s="275"/>
      <c r="BM35" s="275"/>
      <c r="BN35" s="275"/>
      <c r="BO35" s="276"/>
      <c r="BP35" s="274"/>
      <c r="BQ35" s="275"/>
      <c r="BR35" s="275"/>
      <c r="BS35" s="275"/>
      <c r="BT35" s="276"/>
      <c r="BU35" s="274"/>
      <c r="BV35" s="275"/>
      <c r="BW35" s="275"/>
      <c r="BX35" s="275"/>
      <c r="BY35" s="276"/>
      <c r="BZ35" s="274"/>
      <c r="CA35" s="275"/>
      <c r="CB35" s="275"/>
      <c r="CC35" s="275"/>
      <c r="CD35" s="276"/>
      <c r="CE35" s="274"/>
      <c r="CF35" s="275"/>
      <c r="CG35" s="275"/>
      <c r="CH35" s="275"/>
      <c r="CI35" s="276"/>
      <c r="CJ35" s="274"/>
      <c r="CK35" s="275"/>
      <c r="CL35" s="275"/>
      <c r="CM35" s="275"/>
      <c r="CN35" s="276"/>
      <c r="CO35" s="277">
        <f t="shared" si="4"/>
        <v>0</v>
      </c>
      <c r="CP35" s="278"/>
      <c r="CQ35" s="278"/>
      <c r="CR35" s="278"/>
      <c r="CS35" s="279"/>
      <c r="CT35" s="335" t="str">
        <f t="shared" si="1"/>
        <v>-</v>
      </c>
      <c r="CU35" s="336"/>
      <c r="CV35" s="336"/>
      <c r="CW35" s="336"/>
      <c r="CX35" s="337"/>
      <c r="CY35" s="29"/>
      <c r="DA35" s="8" t="b">
        <v>0</v>
      </c>
      <c r="DC35" s="253">
        <v>25</v>
      </c>
      <c r="DD35" s="554"/>
      <c r="DE35" s="555"/>
      <c r="DF35" s="555"/>
      <c r="DG35" s="556"/>
      <c r="DH35" s="298"/>
      <c r="DI35" s="299"/>
      <c r="DJ35" s="300"/>
      <c r="DK35" s="301"/>
      <c r="DL35" s="302"/>
      <c r="DM35" s="302"/>
      <c r="DN35" s="302"/>
      <c r="DO35" s="303"/>
      <c r="DP35" s="68"/>
      <c r="DQ35" s="290"/>
      <c r="DR35" s="291"/>
      <c r="DS35" s="291"/>
      <c r="DT35" s="291"/>
      <c r="DU35" s="292"/>
      <c r="DV35" s="293"/>
      <c r="DW35" s="294"/>
      <c r="DX35" s="346">
        <f t="shared" si="2"/>
        <v>0</v>
      </c>
      <c r="DY35" s="347"/>
      <c r="DZ35" s="347"/>
      <c r="EA35" s="347"/>
      <c r="EB35" s="348"/>
      <c r="EC35" s="69"/>
      <c r="ED35" s="274"/>
      <c r="EE35" s="275"/>
      <c r="EF35" s="275"/>
      <c r="EG35" s="275"/>
      <c r="EH35" s="276"/>
      <c r="EI35" s="274"/>
      <c r="EJ35" s="275"/>
      <c r="EK35" s="275"/>
      <c r="EL35" s="275"/>
      <c r="EM35" s="276"/>
      <c r="EN35" s="274"/>
      <c r="EO35" s="275"/>
      <c r="EP35" s="275"/>
      <c r="EQ35" s="275"/>
      <c r="ER35" s="276"/>
      <c r="ES35" s="274"/>
      <c r="ET35" s="275"/>
      <c r="EU35" s="275"/>
      <c r="EV35" s="275"/>
      <c r="EW35" s="276"/>
      <c r="EX35" s="274"/>
      <c r="EY35" s="275"/>
      <c r="EZ35" s="275"/>
      <c r="FA35" s="275"/>
      <c r="FB35" s="276"/>
      <c r="FC35" s="274"/>
      <c r="FD35" s="275"/>
      <c r="FE35" s="275"/>
      <c r="FF35" s="275"/>
      <c r="FG35" s="276"/>
      <c r="FH35" s="277">
        <f t="shared" si="5"/>
        <v>0</v>
      </c>
      <c r="FI35" s="278"/>
      <c r="FJ35" s="278"/>
      <c r="FK35" s="278"/>
      <c r="FL35" s="279"/>
      <c r="FM35" s="335" t="str">
        <f t="shared" si="6"/>
        <v>-</v>
      </c>
      <c r="FN35" s="336"/>
      <c r="FO35" s="336"/>
      <c r="FP35" s="336"/>
      <c r="FQ35" s="337"/>
      <c r="FR35" s="265"/>
      <c r="FS35" s="265"/>
      <c r="FT35" s="264"/>
      <c r="FU35" s="264"/>
      <c r="FV35" s="264"/>
      <c r="FW35" s="264"/>
      <c r="FX35" s="264"/>
    </row>
    <row r="36" spans="1:180" ht="22.5" customHeight="1" thickBot="1">
      <c r="A36" s="19"/>
      <c r="B36" s="48"/>
      <c r="C36" s="311"/>
      <c r="D36" s="311"/>
      <c r="E36" s="311"/>
      <c r="F36" s="311"/>
      <c r="G36" s="311"/>
      <c r="H36" s="311"/>
      <c r="I36" s="311"/>
      <c r="J36" s="311"/>
      <c r="K36" s="49"/>
      <c r="L36" s="325" t="s">
        <v>8</v>
      </c>
      <c r="M36" s="326"/>
      <c r="N36" s="326"/>
      <c r="O36" s="326"/>
      <c r="P36" s="326"/>
      <c r="Q36" s="355"/>
      <c r="R36" s="355"/>
      <c r="S36" s="355"/>
      <c r="T36" s="355"/>
      <c r="U36" s="355"/>
      <c r="V36" s="355"/>
      <c r="W36" s="355"/>
      <c r="X36" s="355"/>
      <c r="Y36" s="355"/>
      <c r="Z36" s="355"/>
      <c r="AA36" s="355"/>
      <c r="AB36" s="355"/>
      <c r="AC36" s="355"/>
      <c r="AD36" s="355"/>
      <c r="AE36" s="355"/>
      <c r="AF36" s="355"/>
      <c r="AG36" s="356"/>
      <c r="AH36" s="312"/>
      <c r="AI36" s="314"/>
      <c r="AJ36" s="253">
        <v>13</v>
      </c>
      <c r="AK36" s="560"/>
      <c r="AL36" s="561"/>
      <c r="AM36" s="561"/>
      <c r="AN36" s="562"/>
      <c r="AO36" s="298"/>
      <c r="AP36" s="299"/>
      <c r="AQ36" s="300"/>
      <c r="AR36" s="301"/>
      <c r="AS36" s="302"/>
      <c r="AT36" s="302"/>
      <c r="AU36" s="302"/>
      <c r="AV36" s="303"/>
      <c r="AW36" s="68"/>
      <c r="AX36" s="290"/>
      <c r="AY36" s="291"/>
      <c r="AZ36" s="291"/>
      <c r="BA36" s="291"/>
      <c r="BB36" s="292"/>
      <c r="BC36" s="293"/>
      <c r="BD36" s="294"/>
      <c r="BE36" s="346">
        <f t="shared" si="0"/>
        <v>0</v>
      </c>
      <c r="BF36" s="347"/>
      <c r="BG36" s="347"/>
      <c r="BH36" s="347"/>
      <c r="BI36" s="348"/>
      <c r="BJ36" s="69"/>
      <c r="BK36" s="274"/>
      <c r="BL36" s="275"/>
      <c r="BM36" s="275"/>
      <c r="BN36" s="275"/>
      <c r="BO36" s="276"/>
      <c r="BP36" s="274"/>
      <c r="BQ36" s="275"/>
      <c r="BR36" s="275"/>
      <c r="BS36" s="275"/>
      <c r="BT36" s="276"/>
      <c r="BU36" s="274"/>
      <c r="BV36" s="275"/>
      <c r="BW36" s="275"/>
      <c r="BX36" s="275"/>
      <c r="BY36" s="276"/>
      <c r="BZ36" s="274"/>
      <c r="CA36" s="275"/>
      <c r="CB36" s="275"/>
      <c r="CC36" s="275"/>
      <c r="CD36" s="276"/>
      <c r="CE36" s="274"/>
      <c r="CF36" s="275"/>
      <c r="CG36" s="275"/>
      <c r="CH36" s="275"/>
      <c r="CI36" s="276"/>
      <c r="CJ36" s="274"/>
      <c r="CK36" s="275"/>
      <c r="CL36" s="275"/>
      <c r="CM36" s="275"/>
      <c r="CN36" s="276"/>
      <c r="CO36" s="277">
        <f t="shared" si="4"/>
        <v>0</v>
      </c>
      <c r="CP36" s="278"/>
      <c r="CQ36" s="278"/>
      <c r="CR36" s="278"/>
      <c r="CS36" s="279"/>
      <c r="CT36" s="335" t="str">
        <f t="shared" si="1"/>
        <v>-</v>
      </c>
      <c r="CU36" s="336"/>
      <c r="CV36" s="336"/>
      <c r="CW36" s="336"/>
      <c r="CX36" s="337"/>
      <c r="CY36" s="77"/>
      <c r="DA36" s="8" t="b">
        <v>0</v>
      </c>
      <c r="DC36" s="253">
        <v>26</v>
      </c>
      <c r="DD36" s="554"/>
      <c r="DE36" s="555"/>
      <c r="DF36" s="555"/>
      <c r="DG36" s="556"/>
      <c r="DH36" s="298"/>
      <c r="DI36" s="299"/>
      <c r="DJ36" s="300"/>
      <c r="DK36" s="563"/>
      <c r="DL36" s="564"/>
      <c r="DM36" s="564"/>
      <c r="DN36" s="564"/>
      <c r="DO36" s="565"/>
      <c r="DP36" s="68"/>
      <c r="DQ36" s="566"/>
      <c r="DR36" s="567"/>
      <c r="DS36" s="567"/>
      <c r="DT36" s="567"/>
      <c r="DU36" s="568"/>
      <c r="DV36" s="569"/>
      <c r="DW36" s="570"/>
      <c r="DX36" s="571">
        <f t="shared" si="2"/>
        <v>0</v>
      </c>
      <c r="DY36" s="572"/>
      <c r="DZ36" s="572"/>
      <c r="EA36" s="572"/>
      <c r="EB36" s="573"/>
      <c r="EC36" s="69"/>
      <c r="ED36" s="545"/>
      <c r="EE36" s="546"/>
      <c r="EF36" s="546"/>
      <c r="EG36" s="546"/>
      <c r="EH36" s="547"/>
      <c r="EI36" s="545"/>
      <c r="EJ36" s="546"/>
      <c r="EK36" s="546"/>
      <c r="EL36" s="546"/>
      <c r="EM36" s="547"/>
      <c r="EN36" s="545"/>
      <c r="EO36" s="546"/>
      <c r="EP36" s="546"/>
      <c r="EQ36" s="546"/>
      <c r="ER36" s="547"/>
      <c r="ES36" s="545"/>
      <c r="ET36" s="546"/>
      <c r="EU36" s="546"/>
      <c r="EV36" s="546"/>
      <c r="EW36" s="547"/>
      <c r="EX36" s="545"/>
      <c r="EY36" s="546"/>
      <c r="EZ36" s="546"/>
      <c r="FA36" s="546"/>
      <c r="FB36" s="547"/>
      <c r="FC36" s="545"/>
      <c r="FD36" s="546"/>
      <c r="FE36" s="546"/>
      <c r="FF36" s="546"/>
      <c r="FG36" s="547"/>
      <c r="FH36" s="548">
        <f t="shared" si="5"/>
        <v>0</v>
      </c>
      <c r="FI36" s="549"/>
      <c r="FJ36" s="549"/>
      <c r="FK36" s="549"/>
      <c r="FL36" s="550"/>
      <c r="FM36" s="551" t="str">
        <f t="shared" si="6"/>
        <v>-</v>
      </c>
      <c r="FN36" s="552"/>
      <c r="FO36" s="552"/>
      <c r="FP36" s="552"/>
      <c r="FQ36" s="553"/>
      <c r="FR36" s="265"/>
      <c r="FS36" s="265"/>
      <c r="FT36" s="264"/>
      <c r="FU36" s="264"/>
      <c r="FV36" s="264"/>
      <c r="FW36" s="264"/>
      <c r="FX36" s="264"/>
    </row>
    <row r="37" spans="1:180" ht="22.5" customHeight="1" thickBot="1">
      <c r="A37" s="19"/>
      <c r="B37" s="16"/>
      <c r="C37" s="309" t="s">
        <v>9</v>
      </c>
      <c r="D37" s="310"/>
      <c r="E37" s="310"/>
      <c r="F37" s="310"/>
      <c r="G37" s="310"/>
      <c r="H37" s="310"/>
      <c r="I37" s="310"/>
      <c r="J37" s="310"/>
      <c r="K37" s="75"/>
      <c r="L37" s="320" t="s">
        <v>10</v>
      </c>
      <c r="M37" s="321"/>
      <c r="N37" s="321"/>
      <c r="O37" s="321"/>
      <c r="P37" s="321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323"/>
      <c r="AH37" s="312"/>
      <c r="AI37" s="314"/>
      <c r="AJ37" s="317" t="s">
        <v>58</v>
      </c>
      <c r="AK37" s="318"/>
      <c r="AL37" s="318"/>
      <c r="AM37" s="318"/>
      <c r="AN37" s="318"/>
      <c r="AO37" s="318"/>
      <c r="AP37" s="318"/>
      <c r="AQ37" s="319"/>
      <c r="AR37" s="340">
        <f>ROUNDUP(SUM(AR24:AV36),-3)</f>
        <v>2350000</v>
      </c>
      <c r="AS37" s="341"/>
      <c r="AT37" s="341"/>
      <c r="AU37" s="341"/>
      <c r="AV37" s="342"/>
      <c r="AW37" s="65"/>
      <c r="AX37" s="349">
        <f>SUM(AX24:BB36)</f>
        <v>2110000</v>
      </c>
      <c r="AY37" s="350"/>
      <c r="AZ37" s="350"/>
      <c r="BA37" s="350"/>
      <c r="BB37" s="351"/>
      <c r="BC37" s="338"/>
      <c r="BD37" s="339"/>
      <c r="BE37" s="343">
        <f>SUM(BE24:BI36)</f>
        <v>240000</v>
      </c>
      <c r="BF37" s="344"/>
      <c r="BG37" s="344"/>
      <c r="BH37" s="344"/>
      <c r="BI37" s="345"/>
      <c r="BJ37" s="78"/>
      <c r="BK37" s="286">
        <f>SUM(BK24:BO36)</f>
        <v>250000</v>
      </c>
      <c r="BL37" s="268"/>
      <c r="BM37" s="268"/>
      <c r="BN37" s="268"/>
      <c r="BO37" s="268"/>
      <c r="BP37" s="268">
        <f>SUM(BP24:BT36)</f>
        <v>450000</v>
      </c>
      <c r="BQ37" s="268"/>
      <c r="BR37" s="268"/>
      <c r="BS37" s="268"/>
      <c r="BT37" s="268"/>
      <c r="BU37" s="268">
        <f>SUM(BU24:BY36)</f>
        <v>480000</v>
      </c>
      <c r="BV37" s="268"/>
      <c r="BW37" s="268"/>
      <c r="BX37" s="268"/>
      <c r="BY37" s="268"/>
      <c r="BZ37" s="268">
        <f>SUM(BZ24:CD36)</f>
        <v>400000</v>
      </c>
      <c r="CA37" s="268"/>
      <c r="CB37" s="268"/>
      <c r="CC37" s="268"/>
      <c r="CD37" s="268"/>
      <c r="CE37" s="268">
        <f>SUM(CE24:CI36)</f>
        <v>330000</v>
      </c>
      <c r="CF37" s="268"/>
      <c r="CG37" s="268"/>
      <c r="CH37" s="268"/>
      <c r="CI37" s="268"/>
      <c r="CJ37" s="268">
        <f>SUM(CJ24:CN36)</f>
        <v>200000</v>
      </c>
      <c r="CK37" s="268"/>
      <c r="CL37" s="268"/>
      <c r="CM37" s="268"/>
      <c r="CN37" s="268"/>
      <c r="CO37" s="269">
        <f>SUM(CO24:CS36)</f>
        <v>2110000</v>
      </c>
      <c r="CP37" s="269"/>
      <c r="CQ37" s="269"/>
      <c r="CR37" s="269"/>
      <c r="CS37" s="270"/>
      <c r="CT37" s="327" t="s">
        <v>271</v>
      </c>
      <c r="CU37" s="328"/>
      <c r="CV37" s="328"/>
      <c r="CW37" s="328"/>
      <c r="CX37" s="329"/>
      <c r="CY37" s="77"/>
    </row>
    <row r="38" spans="1:180" ht="18.75" customHeight="1">
      <c r="A38" s="19"/>
      <c r="B38" s="48"/>
      <c r="C38" s="311"/>
      <c r="D38" s="311"/>
      <c r="E38" s="311"/>
      <c r="F38" s="311"/>
      <c r="G38" s="311"/>
      <c r="H38" s="311"/>
      <c r="I38" s="311"/>
      <c r="J38" s="311"/>
      <c r="K38" s="49"/>
      <c r="L38" s="357" t="s">
        <v>11</v>
      </c>
      <c r="M38" s="358"/>
      <c r="N38" s="358"/>
      <c r="O38" s="358"/>
      <c r="P38" s="358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60"/>
      <c r="AH38" s="315"/>
      <c r="AI38" s="31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6"/>
      <c r="AW38" s="196"/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96"/>
      <c r="BJ38" s="196"/>
      <c r="BK38" s="333" t="s">
        <v>57</v>
      </c>
      <c r="BL38" s="333"/>
      <c r="BM38" s="333"/>
      <c r="BN38" s="333"/>
      <c r="BO38" s="333"/>
      <c r="BP38" s="333"/>
      <c r="BQ38" s="333"/>
      <c r="BR38" s="333"/>
      <c r="BS38" s="333"/>
      <c r="BT38" s="333"/>
      <c r="BU38" s="333"/>
      <c r="BV38" s="333"/>
      <c r="BW38" s="333"/>
      <c r="BX38" s="333"/>
      <c r="BY38" s="333"/>
      <c r="BZ38" s="333"/>
      <c r="CA38" s="333"/>
      <c r="CB38" s="333"/>
      <c r="CC38" s="333"/>
      <c r="CD38" s="333"/>
      <c r="CE38" s="333"/>
      <c r="CF38" s="333"/>
      <c r="CG38" s="333"/>
      <c r="CH38" s="333"/>
      <c r="CI38" s="333"/>
      <c r="CJ38" s="333"/>
      <c r="CK38" s="333"/>
      <c r="CL38" s="333"/>
      <c r="CM38" s="333"/>
      <c r="CN38" s="333"/>
      <c r="CO38" s="333"/>
      <c r="CP38" s="333"/>
      <c r="CQ38" s="333"/>
      <c r="CR38" s="333"/>
      <c r="CS38" s="334"/>
      <c r="CT38" s="330"/>
      <c r="CU38" s="331"/>
      <c r="CV38" s="331"/>
      <c r="CW38" s="331"/>
      <c r="CX38" s="332"/>
      <c r="CY38" s="197"/>
    </row>
    <row r="39" spans="1:180" ht="22.15" customHeight="1">
      <c r="AH39" s="79"/>
      <c r="AI39" s="79"/>
      <c r="AJ39" s="28"/>
      <c r="AK39" s="28"/>
      <c r="AL39" s="28"/>
      <c r="AM39" s="28"/>
      <c r="AN39" s="28"/>
      <c r="AO39" s="28"/>
      <c r="AP39" s="28"/>
      <c r="AQ39" s="28"/>
      <c r="AR39" s="28"/>
      <c r="AS39" s="34"/>
      <c r="AT39" s="28"/>
      <c r="AU39" s="28"/>
      <c r="AV39" s="28"/>
      <c r="AW39" s="28"/>
      <c r="AX39" s="28"/>
      <c r="BC39" s="4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</row>
    <row r="40" spans="1:180" ht="22.15" customHeight="1">
      <c r="A40" s="81"/>
      <c r="B40" s="81"/>
      <c r="C40" s="81"/>
      <c r="D40" s="81"/>
      <c r="E40" s="81"/>
      <c r="AY40" s="28"/>
      <c r="AZ40" s="82"/>
      <c r="BA40" s="82"/>
      <c r="BB40" s="82"/>
      <c r="BC40" s="28"/>
      <c r="BD40" s="28"/>
      <c r="BE40" s="28"/>
      <c r="BF40" s="28"/>
      <c r="BG40" s="28"/>
      <c r="BH40" s="28"/>
      <c r="BI40" s="28"/>
      <c r="BK40" s="285">
        <v>10</v>
      </c>
      <c r="BL40" s="280"/>
      <c r="BM40" s="280"/>
      <c r="BN40" s="280" t="s">
        <v>73</v>
      </c>
      <c r="BO40" s="281"/>
      <c r="BP40" s="285">
        <v>11</v>
      </c>
      <c r="BQ40" s="280"/>
      <c r="BR40" s="280"/>
      <c r="BS40" s="280" t="s">
        <v>73</v>
      </c>
      <c r="BT40" s="281"/>
      <c r="BU40" s="285">
        <v>12</v>
      </c>
      <c r="BV40" s="280"/>
      <c r="BW40" s="280"/>
      <c r="BX40" s="280" t="s">
        <v>73</v>
      </c>
      <c r="BY40" s="281"/>
      <c r="BZ40" s="285"/>
      <c r="CA40" s="280"/>
      <c r="CB40" s="280"/>
      <c r="CC40" s="280" t="s">
        <v>73</v>
      </c>
      <c r="CD40" s="281"/>
      <c r="CE40" s="285"/>
      <c r="CF40" s="280"/>
      <c r="CG40" s="280"/>
      <c r="CH40" s="280" t="s">
        <v>73</v>
      </c>
      <c r="CI40" s="281"/>
      <c r="CJ40" s="285"/>
      <c r="CK40" s="280"/>
      <c r="CL40" s="280"/>
      <c r="CM40" s="280" t="s">
        <v>73</v>
      </c>
      <c r="CN40" s="281"/>
      <c r="CO40" s="282" t="s">
        <v>50</v>
      </c>
      <c r="CP40" s="283"/>
      <c r="CQ40" s="283"/>
      <c r="CR40" s="283"/>
      <c r="CS40" s="284"/>
      <c r="CT40" s="83"/>
      <c r="CU40" s="83"/>
      <c r="CV40" s="83"/>
      <c r="CW40" s="83"/>
    </row>
    <row r="41" spans="1:180" ht="22.15" customHeight="1">
      <c r="A41" s="81"/>
      <c r="B41" s="81"/>
      <c r="C41" s="81"/>
      <c r="D41" s="81"/>
      <c r="E41" s="81"/>
      <c r="AY41" s="28"/>
      <c r="AZ41" s="82"/>
      <c r="BA41" s="82"/>
      <c r="BB41" s="82"/>
      <c r="BC41" s="28"/>
      <c r="BK41" s="274"/>
      <c r="BL41" s="275"/>
      <c r="BM41" s="275"/>
      <c r="BN41" s="275"/>
      <c r="BO41" s="276"/>
      <c r="BP41" s="274"/>
      <c r="BQ41" s="275"/>
      <c r="BR41" s="275"/>
      <c r="BS41" s="275"/>
      <c r="BT41" s="276"/>
      <c r="BU41" s="274"/>
      <c r="BV41" s="275"/>
      <c r="BW41" s="275"/>
      <c r="BX41" s="275"/>
      <c r="BY41" s="276"/>
      <c r="BZ41" s="274"/>
      <c r="CA41" s="275"/>
      <c r="CB41" s="275"/>
      <c r="CC41" s="275"/>
      <c r="CD41" s="276"/>
      <c r="CE41" s="274"/>
      <c r="CF41" s="275"/>
      <c r="CG41" s="275"/>
      <c r="CH41" s="275"/>
      <c r="CI41" s="276"/>
      <c r="CJ41" s="274"/>
      <c r="CK41" s="275"/>
      <c r="CL41" s="275"/>
      <c r="CM41" s="275"/>
      <c r="CN41" s="276"/>
      <c r="CO41" s="277">
        <f>SUM(BK41:CN41)</f>
        <v>0</v>
      </c>
      <c r="CP41" s="278"/>
      <c r="CQ41" s="278"/>
      <c r="CR41" s="278"/>
      <c r="CS41" s="279"/>
    </row>
    <row r="42" spans="1:180" ht="22.15" customHeight="1">
      <c r="B42" s="81"/>
      <c r="C42" s="81"/>
      <c r="D42" s="81"/>
      <c r="E42" s="81"/>
      <c r="AY42" s="28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274"/>
      <c r="BL42" s="275"/>
      <c r="BM42" s="275"/>
      <c r="BN42" s="275"/>
      <c r="BO42" s="276"/>
      <c r="BP42" s="274"/>
      <c r="BQ42" s="275"/>
      <c r="BR42" s="275"/>
      <c r="BS42" s="275"/>
      <c r="BT42" s="276"/>
      <c r="BU42" s="274"/>
      <c r="BV42" s="275"/>
      <c r="BW42" s="275"/>
      <c r="BX42" s="275"/>
      <c r="BY42" s="276"/>
      <c r="BZ42" s="274"/>
      <c r="CA42" s="275"/>
      <c r="CB42" s="275"/>
      <c r="CC42" s="275"/>
      <c r="CD42" s="276"/>
      <c r="CE42" s="274"/>
      <c r="CF42" s="275"/>
      <c r="CG42" s="275"/>
      <c r="CH42" s="275"/>
      <c r="CI42" s="276"/>
      <c r="CJ42" s="274"/>
      <c r="CK42" s="275"/>
      <c r="CL42" s="275"/>
      <c r="CM42" s="275"/>
      <c r="CN42" s="276"/>
      <c r="CO42" s="277">
        <f t="shared" ref="CO42:CO53" si="7">SUM(BK42:CN42)</f>
        <v>0</v>
      </c>
      <c r="CP42" s="278"/>
      <c r="CQ42" s="278"/>
      <c r="CR42" s="278"/>
      <c r="CS42" s="279"/>
    </row>
    <row r="43" spans="1:180" ht="22.15" customHeight="1">
      <c r="A43" s="81"/>
      <c r="B43" s="81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BK43" s="274"/>
      <c r="BL43" s="275"/>
      <c r="BM43" s="275"/>
      <c r="BN43" s="275"/>
      <c r="BO43" s="276"/>
      <c r="BP43" s="274"/>
      <c r="BQ43" s="275"/>
      <c r="BR43" s="275"/>
      <c r="BS43" s="275"/>
      <c r="BT43" s="276"/>
      <c r="BU43" s="274"/>
      <c r="BV43" s="275"/>
      <c r="BW43" s="275"/>
      <c r="BX43" s="275"/>
      <c r="BY43" s="276"/>
      <c r="BZ43" s="274"/>
      <c r="CA43" s="275"/>
      <c r="CB43" s="275"/>
      <c r="CC43" s="275"/>
      <c r="CD43" s="276"/>
      <c r="CE43" s="274"/>
      <c r="CF43" s="275"/>
      <c r="CG43" s="275"/>
      <c r="CH43" s="275"/>
      <c r="CI43" s="276"/>
      <c r="CJ43" s="274"/>
      <c r="CK43" s="275"/>
      <c r="CL43" s="275"/>
      <c r="CM43" s="275"/>
      <c r="CN43" s="276"/>
      <c r="CO43" s="277">
        <f t="shared" si="7"/>
        <v>0</v>
      </c>
      <c r="CP43" s="278"/>
      <c r="CQ43" s="278"/>
      <c r="CR43" s="278"/>
      <c r="CS43" s="279"/>
    </row>
    <row r="44" spans="1:180" ht="22.15" customHeight="1">
      <c r="A44" s="81"/>
      <c r="B44" s="81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BK44" s="274"/>
      <c r="BL44" s="275"/>
      <c r="BM44" s="275"/>
      <c r="BN44" s="275"/>
      <c r="BO44" s="276"/>
      <c r="BP44" s="274"/>
      <c r="BQ44" s="275"/>
      <c r="BR44" s="275"/>
      <c r="BS44" s="275"/>
      <c r="BT44" s="276"/>
      <c r="BU44" s="274"/>
      <c r="BV44" s="275"/>
      <c r="BW44" s="275"/>
      <c r="BX44" s="275"/>
      <c r="BY44" s="276"/>
      <c r="BZ44" s="274"/>
      <c r="CA44" s="275"/>
      <c r="CB44" s="275"/>
      <c r="CC44" s="275"/>
      <c r="CD44" s="276"/>
      <c r="CE44" s="274"/>
      <c r="CF44" s="275"/>
      <c r="CG44" s="275"/>
      <c r="CH44" s="275"/>
      <c r="CI44" s="276"/>
      <c r="CJ44" s="274"/>
      <c r="CK44" s="275"/>
      <c r="CL44" s="275"/>
      <c r="CM44" s="275"/>
      <c r="CN44" s="276"/>
      <c r="CO44" s="277">
        <f t="shared" si="7"/>
        <v>0</v>
      </c>
      <c r="CP44" s="278"/>
      <c r="CQ44" s="278"/>
      <c r="CR44" s="278"/>
      <c r="CS44" s="279"/>
    </row>
    <row r="45" spans="1:180" ht="22.15" customHeight="1">
      <c r="A45" s="81"/>
      <c r="B45" s="81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BK45" s="274"/>
      <c r="BL45" s="275"/>
      <c r="BM45" s="275"/>
      <c r="BN45" s="275"/>
      <c r="BO45" s="276"/>
      <c r="BP45" s="274"/>
      <c r="BQ45" s="275"/>
      <c r="BR45" s="275"/>
      <c r="BS45" s="275"/>
      <c r="BT45" s="276"/>
      <c r="BU45" s="274"/>
      <c r="BV45" s="275"/>
      <c r="BW45" s="275"/>
      <c r="BX45" s="275"/>
      <c r="BY45" s="276"/>
      <c r="BZ45" s="274"/>
      <c r="CA45" s="275"/>
      <c r="CB45" s="275"/>
      <c r="CC45" s="275"/>
      <c r="CD45" s="276"/>
      <c r="CE45" s="274"/>
      <c r="CF45" s="275"/>
      <c r="CG45" s="275"/>
      <c r="CH45" s="275"/>
      <c r="CI45" s="276"/>
      <c r="CJ45" s="274"/>
      <c r="CK45" s="275"/>
      <c r="CL45" s="275"/>
      <c r="CM45" s="275"/>
      <c r="CN45" s="276"/>
      <c r="CO45" s="277">
        <f t="shared" si="7"/>
        <v>0</v>
      </c>
      <c r="CP45" s="278"/>
      <c r="CQ45" s="278"/>
      <c r="CR45" s="278"/>
      <c r="CS45" s="279"/>
    </row>
    <row r="46" spans="1:180" ht="22.15" customHeight="1"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BK46" s="274"/>
      <c r="BL46" s="275"/>
      <c r="BM46" s="275"/>
      <c r="BN46" s="275"/>
      <c r="BO46" s="276"/>
      <c r="BP46" s="274"/>
      <c r="BQ46" s="275"/>
      <c r="BR46" s="275"/>
      <c r="BS46" s="275"/>
      <c r="BT46" s="276"/>
      <c r="BU46" s="274"/>
      <c r="BV46" s="275"/>
      <c r="BW46" s="275"/>
      <c r="BX46" s="275"/>
      <c r="BY46" s="276"/>
      <c r="BZ46" s="274"/>
      <c r="CA46" s="275"/>
      <c r="CB46" s="275"/>
      <c r="CC46" s="275"/>
      <c r="CD46" s="276"/>
      <c r="CE46" s="274"/>
      <c r="CF46" s="275"/>
      <c r="CG46" s="275"/>
      <c r="CH46" s="275"/>
      <c r="CI46" s="276"/>
      <c r="CJ46" s="274"/>
      <c r="CK46" s="275"/>
      <c r="CL46" s="275"/>
      <c r="CM46" s="275"/>
      <c r="CN46" s="276"/>
      <c r="CO46" s="277">
        <f t="shared" si="7"/>
        <v>0</v>
      </c>
      <c r="CP46" s="278"/>
      <c r="CQ46" s="278"/>
      <c r="CR46" s="278"/>
      <c r="CS46" s="279"/>
    </row>
    <row r="47" spans="1:180" ht="22.15" customHeight="1"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BK47" s="274"/>
      <c r="BL47" s="275"/>
      <c r="BM47" s="275"/>
      <c r="BN47" s="275"/>
      <c r="BO47" s="276"/>
      <c r="BP47" s="274"/>
      <c r="BQ47" s="275"/>
      <c r="BR47" s="275"/>
      <c r="BS47" s="275"/>
      <c r="BT47" s="276"/>
      <c r="BU47" s="274"/>
      <c r="BV47" s="275"/>
      <c r="BW47" s="275"/>
      <c r="BX47" s="275"/>
      <c r="BY47" s="276"/>
      <c r="BZ47" s="274"/>
      <c r="CA47" s="275"/>
      <c r="CB47" s="275"/>
      <c r="CC47" s="275"/>
      <c r="CD47" s="276"/>
      <c r="CE47" s="274"/>
      <c r="CF47" s="275"/>
      <c r="CG47" s="275"/>
      <c r="CH47" s="275"/>
      <c r="CI47" s="276"/>
      <c r="CJ47" s="274"/>
      <c r="CK47" s="275"/>
      <c r="CL47" s="275"/>
      <c r="CM47" s="275"/>
      <c r="CN47" s="276"/>
      <c r="CO47" s="277">
        <f t="shared" si="7"/>
        <v>0</v>
      </c>
      <c r="CP47" s="278"/>
      <c r="CQ47" s="278"/>
      <c r="CR47" s="278"/>
      <c r="CS47" s="279"/>
    </row>
    <row r="48" spans="1:180" ht="22.15" customHeight="1"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BK48" s="274"/>
      <c r="BL48" s="275"/>
      <c r="BM48" s="275"/>
      <c r="BN48" s="275"/>
      <c r="BO48" s="276"/>
      <c r="BP48" s="274"/>
      <c r="BQ48" s="275"/>
      <c r="BR48" s="275"/>
      <c r="BS48" s="275"/>
      <c r="BT48" s="276"/>
      <c r="BU48" s="274"/>
      <c r="BV48" s="275"/>
      <c r="BW48" s="275"/>
      <c r="BX48" s="275"/>
      <c r="BY48" s="276"/>
      <c r="BZ48" s="274"/>
      <c r="CA48" s="275"/>
      <c r="CB48" s="275"/>
      <c r="CC48" s="275"/>
      <c r="CD48" s="276"/>
      <c r="CE48" s="274"/>
      <c r="CF48" s="275"/>
      <c r="CG48" s="275"/>
      <c r="CH48" s="275"/>
      <c r="CI48" s="276"/>
      <c r="CJ48" s="274"/>
      <c r="CK48" s="275"/>
      <c r="CL48" s="275"/>
      <c r="CM48" s="275"/>
      <c r="CN48" s="276"/>
      <c r="CO48" s="277">
        <f t="shared" si="7"/>
        <v>0</v>
      </c>
      <c r="CP48" s="278"/>
      <c r="CQ48" s="278"/>
      <c r="CR48" s="278"/>
      <c r="CS48" s="279"/>
    </row>
    <row r="49" spans="1:97" ht="22.15" customHeight="1"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BK49" s="274"/>
      <c r="BL49" s="275"/>
      <c r="BM49" s="275"/>
      <c r="BN49" s="275"/>
      <c r="BO49" s="276"/>
      <c r="BP49" s="274"/>
      <c r="BQ49" s="275"/>
      <c r="BR49" s="275"/>
      <c r="BS49" s="275"/>
      <c r="BT49" s="276"/>
      <c r="BU49" s="274"/>
      <c r="BV49" s="275"/>
      <c r="BW49" s="275"/>
      <c r="BX49" s="275"/>
      <c r="BY49" s="276"/>
      <c r="BZ49" s="274"/>
      <c r="CA49" s="275"/>
      <c r="CB49" s="275"/>
      <c r="CC49" s="275"/>
      <c r="CD49" s="276"/>
      <c r="CE49" s="274"/>
      <c r="CF49" s="275"/>
      <c r="CG49" s="275"/>
      <c r="CH49" s="275"/>
      <c r="CI49" s="276"/>
      <c r="CJ49" s="274"/>
      <c r="CK49" s="275"/>
      <c r="CL49" s="275"/>
      <c r="CM49" s="275"/>
      <c r="CN49" s="276"/>
      <c r="CO49" s="277">
        <f t="shared" si="7"/>
        <v>0</v>
      </c>
      <c r="CP49" s="278"/>
      <c r="CQ49" s="278"/>
      <c r="CR49" s="278"/>
      <c r="CS49" s="279"/>
    </row>
    <row r="50" spans="1:97" ht="22.15" customHeight="1"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BK50" s="274"/>
      <c r="BL50" s="275"/>
      <c r="BM50" s="275"/>
      <c r="BN50" s="275"/>
      <c r="BO50" s="276"/>
      <c r="BP50" s="274"/>
      <c r="BQ50" s="275"/>
      <c r="BR50" s="275"/>
      <c r="BS50" s="275"/>
      <c r="BT50" s="276"/>
      <c r="BU50" s="274"/>
      <c r="BV50" s="275"/>
      <c r="BW50" s="275"/>
      <c r="BX50" s="275"/>
      <c r="BY50" s="276"/>
      <c r="BZ50" s="274"/>
      <c r="CA50" s="275"/>
      <c r="CB50" s="275"/>
      <c r="CC50" s="275"/>
      <c r="CD50" s="276"/>
      <c r="CE50" s="274"/>
      <c r="CF50" s="275"/>
      <c r="CG50" s="275"/>
      <c r="CH50" s="275"/>
      <c r="CI50" s="276"/>
      <c r="CJ50" s="274"/>
      <c r="CK50" s="275"/>
      <c r="CL50" s="275"/>
      <c r="CM50" s="275"/>
      <c r="CN50" s="276"/>
      <c r="CO50" s="277">
        <f t="shared" si="7"/>
        <v>0</v>
      </c>
      <c r="CP50" s="278"/>
      <c r="CQ50" s="278"/>
      <c r="CR50" s="278"/>
      <c r="CS50" s="279"/>
    </row>
    <row r="51" spans="1:97" ht="22.15" customHeight="1"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BK51" s="274"/>
      <c r="BL51" s="275"/>
      <c r="BM51" s="275"/>
      <c r="BN51" s="275"/>
      <c r="BO51" s="276"/>
      <c r="BP51" s="274"/>
      <c r="BQ51" s="275"/>
      <c r="BR51" s="275"/>
      <c r="BS51" s="275"/>
      <c r="BT51" s="276"/>
      <c r="BU51" s="274"/>
      <c r="BV51" s="275"/>
      <c r="BW51" s="275"/>
      <c r="BX51" s="275"/>
      <c r="BY51" s="276"/>
      <c r="BZ51" s="274"/>
      <c r="CA51" s="275"/>
      <c r="CB51" s="275"/>
      <c r="CC51" s="275"/>
      <c r="CD51" s="276"/>
      <c r="CE51" s="274"/>
      <c r="CF51" s="275"/>
      <c r="CG51" s="275"/>
      <c r="CH51" s="275"/>
      <c r="CI51" s="276"/>
      <c r="CJ51" s="274"/>
      <c r="CK51" s="275"/>
      <c r="CL51" s="275"/>
      <c r="CM51" s="275"/>
      <c r="CN51" s="276"/>
      <c r="CO51" s="277">
        <f t="shared" si="7"/>
        <v>0</v>
      </c>
      <c r="CP51" s="278"/>
      <c r="CQ51" s="278"/>
      <c r="CR51" s="278"/>
      <c r="CS51" s="279"/>
    </row>
    <row r="52" spans="1:97" ht="22.15" customHeight="1">
      <c r="A52" s="98"/>
      <c r="B52" s="99"/>
      <c r="C52" s="99"/>
      <c r="D52" s="99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BK52" s="274"/>
      <c r="BL52" s="275"/>
      <c r="BM52" s="275"/>
      <c r="BN52" s="275"/>
      <c r="BO52" s="276"/>
      <c r="BP52" s="274"/>
      <c r="BQ52" s="275"/>
      <c r="BR52" s="275"/>
      <c r="BS52" s="275"/>
      <c r="BT52" s="276"/>
      <c r="BU52" s="274"/>
      <c r="BV52" s="275"/>
      <c r="BW52" s="275"/>
      <c r="BX52" s="275"/>
      <c r="BY52" s="276"/>
      <c r="BZ52" s="274"/>
      <c r="CA52" s="275"/>
      <c r="CB52" s="275"/>
      <c r="CC52" s="275"/>
      <c r="CD52" s="276"/>
      <c r="CE52" s="274"/>
      <c r="CF52" s="275"/>
      <c r="CG52" s="275"/>
      <c r="CH52" s="275"/>
      <c r="CI52" s="276"/>
      <c r="CJ52" s="274"/>
      <c r="CK52" s="275"/>
      <c r="CL52" s="275"/>
      <c r="CM52" s="275"/>
      <c r="CN52" s="276"/>
      <c r="CO52" s="277">
        <f t="shared" si="7"/>
        <v>0</v>
      </c>
      <c r="CP52" s="278"/>
      <c r="CQ52" s="278"/>
      <c r="CR52" s="278"/>
      <c r="CS52" s="279"/>
    </row>
    <row r="53" spans="1:97" ht="22.15" customHeight="1" thickBot="1">
      <c r="A53" s="99"/>
      <c r="B53" s="99"/>
      <c r="C53" s="100"/>
      <c r="D53" s="99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BK53" s="274"/>
      <c r="BL53" s="275"/>
      <c r="BM53" s="275"/>
      <c r="BN53" s="275"/>
      <c r="BO53" s="276"/>
      <c r="BP53" s="274"/>
      <c r="BQ53" s="275"/>
      <c r="BR53" s="275"/>
      <c r="BS53" s="275"/>
      <c r="BT53" s="276"/>
      <c r="BU53" s="274"/>
      <c r="BV53" s="275"/>
      <c r="BW53" s="275"/>
      <c r="BX53" s="275"/>
      <c r="BY53" s="276"/>
      <c r="BZ53" s="274"/>
      <c r="CA53" s="275"/>
      <c r="CB53" s="275"/>
      <c r="CC53" s="275"/>
      <c r="CD53" s="276"/>
      <c r="CE53" s="274"/>
      <c r="CF53" s="275"/>
      <c r="CG53" s="275"/>
      <c r="CH53" s="275"/>
      <c r="CI53" s="276"/>
      <c r="CJ53" s="274"/>
      <c r="CK53" s="275"/>
      <c r="CL53" s="275"/>
      <c r="CM53" s="275"/>
      <c r="CN53" s="276"/>
      <c r="CO53" s="277">
        <f t="shared" si="7"/>
        <v>0</v>
      </c>
      <c r="CP53" s="278"/>
      <c r="CQ53" s="278"/>
      <c r="CR53" s="278"/>
      <c r="CS53" s="279"/>
    </row>
    <row r="54" spans="1:97" ht="22.15" customHeight="1" thickBot="1">
      <c r="A54" s="99"/>
      <c r="B54" s="99"/>
      <c r="C54" s="100"/>
      <c r="D54" s="99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BK54" s="286">
        <f>SUM(BK41:BO53)</f>
        <v>0</v>
      </c>
      <c r="BL54" s="268"/>
      <c r="BM54" s="268"/>
      <c r="BN54" s="268"/>
      <c r="BO54" s="268"/>
      <c r="BP54" s="268">
        <f>SUM(BP41:BT53)</f>
        <v>0</v>
      </c>
      <c r="BQ54" s="268"/>
      <c r="BR54" s="268"/>
      <c r="BS54" s="268"/>
      <c r="BT54" s="268"/>
      <c r="BU54" s="268">
        <f>SUM(BU41:BY53)</f>
        <v>0</v>
      </c>
      <c r="BV54" s="268"/>
      <c r="BW54" s="268"/>
      <c r="BX54" s="268"/>
      <c r="BY54" s="268"/>
      <c r="BZ54" s="268">
        <f>SUM(BZ41:CD53)</f>
        <v>0</v>
      </c>
      <c r="CA54" s="268"/>
      <c r="CB54" s="268"/>
      <c r="CC54" s="268"/>
      <c r="CD54" s="268"/>
      <c r="CE54" s="268">
        <f>SUM(CE41:CI53)</f>
        <v>0</v>
      </c>
      <c r="CF54" s="268"/>
      <c r="CG54" s="268"/>
      <c r="CH54" s="268"/>
      <c r="CI54" s="268"/>
      <c r="CJ54" s="268">
        <f>SUM(CJ41:CN53)</f>
        <v>0</v>
      </c>
      <c r="CK54" s="268"/>
      <c r="CL54" s="268"/>
      <c r="CM54" s="268"/>
      <c r="CN54" s="268"/>
      <c r="CO54" s="269">
        <f>SUM(CO41:CS53)</f>
        <v>0</v>
      </c>
      <c r="CP54" s="269"/>
      <c r="CQ54" s="269"/>
      <c r="CR54" s="269"/>
      <c r="CS54" s="270"/>
    </row>
    <row r="55" spans="1:97" ht="22.15" customHeight="1">
      <c r="A55" s="99"/>
      <c r="B55" s="99"/>
      <c r="C55" s="100"/>
      <c r="D55" s="99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</row>
    <row r="56" spans="1:97" ht="22.15" customHeight="1">
      <c r="A56" s="99"/>
      <c r="B56" s="99"/>
      <c r="C56" s="100"/>
      <c r="D56" s="99"/>
    </row>
    <row r="57" spans="1:97" ht="22.15" customHeight="1">
      <c r="A57" s="99"/>
      <c r="B57" s="99"/>
      <c r="C57" s="100"/>
      <c r="D57" s="99"/>
    </row>
    <row r="58" spans="1:97" ht="22.15" customHeight="1">
      <c r="A58" s="99"/>
      <c r="B58" s="99"/>
      <c r="C58" s="100"/>
      <c r="D58" s="99"/>
    </row>
    <row r="59" spans="1:97" ht="22.15" customHeight="1">
      <c r="A59" s="99"/>
      <c r="B59" s="99"/>
      <c r="C59" s="100"/>
      <c r="D59" s="99"/>
    </row>
    <row r="60" spans="1:97" ht="22.15" customHeight="1">
      <c r="A60" s="99"/>
      <c r="B60" s="99"/>
      <c r="C60" s="100"/>
      <c r="D60" s="99"/>
    </row>
    <row r="61" spans="1:97" ht="22.15" customHeight="1">
      <c r="A61" s="99"/>
      <c r="B61" s="99"/>
      <c r="C61" s="100"/>
      <c r="D61" s="99"/>
    </row>
    <row r="62" spans="1:97" ht="22.15" customHeight="1">
      <c r="A62" s="99"/>
      <c r="B62" s="99"/>
      <c r="C62" s="100"/>
      <c r="D62" s="99"/>
    </row>
    <row r="63" spans="1:97" ht="22.15" customHeight="1">
      <c r="A63" s="99"/>
      <c r="B63" s="99"/>
      <c r="C63" s="100"/>
      <c r="D63" s="99"/>
    </row>
    <row r="64" spans="1:97" ht="22.15" customHeight="1">
      <c r="A64" s="99"/>
      <c r="B64" s="99"/>
      <c r="C64" s="100"/>
      <c r="D64" s="99"/>
    </row>
    <row r="65" spans="1:4" ht="22.15" customHeight="1">
      <c r="A65" s="99"/>
      <c r="B65" s="99"/>
      <c r="C65" s="100"/>
      <c r="D65" s="99"/>
    </row>
    <row r="66" spans="1:4" ht="22.15" customHeight="1">
      <c r="A66" s="99"/>
      <c r="B66" s="99"/>
      <c r="C66" s="100"/>
      <c r="D66" s="99"/>
    </row>
    <row r="67" spans="1:4" ht="22.15" customHeight="1">
      <c r="A67" s="99"/>
      <c r="B67" s="99"/>
      <c r="C67" s="100"/>
      <c r="D67" s="99"/>
    </row>
    <row r="68" spans="1:4" ht="22.15" customHeight="1">
      <c r="A68" s="99"/>
      <c r="B68" s="99"/>
      <c r="C68" s="100"/>
      <c r="D68" s="99"/>
    </row>
    <row r="69" spans="1:4" ht="22.15" customHeight="1">
      <c r="A69" s="99"/>
      <c r="B69" s="99"/>
      <c r="C69" s="100"/>
      <c r="D69" s="99"/>
    </row>
    <row r="70" spans="1:4" ht="22.15" customHeight="1">
      <c r="A70" s="99"/>
      <c r="B70" s="99"/>
      <c r="C70" s="100"/>
      <c r="D70" s="99"/>
    </row>
    <row r="71" spans="1:4">
      <c r="A71" s="99"/>
      <c r="B71" s="99"/>
      <c r="C71" s="100"/>
      <c r="D71" s="99"/>
    </row>
    <row r="72" spans="1:4">
      <c r="A72" s="99"/>
      <c r="B72" s="99"/>
      <c r="C72" s="100"/>
      <c r="D72" s="99"/>
    </row>
    <row r="73" spans="1:4">
      <c r="A73" s="99"/>
      <c r="B73" s="99"/>
      <c r="C73" s="100"/>
      <c r="D73" s="99"/>
    </row>
    <row r="74" spans="1:4">
      <c r="A74" s="99"/>
      <c r="B74" s="99"/>
      <c r="C74" s="100"/>
      <c r="D74" s="99"/>
    </row>
    <row r="75" spans="1:4">
      <c r="A75" s="99"/>
      <c r="B75" s="99"/>
      <c r="C75" s="100"/>
      <c r="D75" s="99"/>
    </row>
    <row r="76" spans="1:4">
      <c r="A76" s="99"/>
      <c r="B76" s="99"/>
      <c r="C76" s="100"/>
      <c r="D76" s="99"/>
    </row>
    <row r="77" spans="1:4">
      <c r="A77" s="99"/>
      <c r="B77" s="99"/>
      <c r="C77" s="100"/>
      <c r="D77" s="99"/>
    </row>
    <row r="78" spans="1:4">
      <c r="A78" s="99"/>
      <c r="B78" s="99"/>
      <c r="C78" s="100"/>
      <c r="D78" s="99"/>
    </row>
    <row r="79" spans="1:4">
      <c r="A79" s="99"/>
      <c r="B79" s="99"/>
      <c r="C79" s="100"/>
      <c r="D79" s="99"/>
    </row>
    <row r="80" spans="1:4">
      <c r="A80" s="99"/>
      <c r="B80" s="99"/>
      <c r="C80" s="100"/>
      <c r="D80" s="99"/>
    </row>
    <row r="81" spans="1:4">
      <c r="A81" s="99"/>
      <c r="B81" s="99"/>
      <c r="C81" s="98"/>
      <c r="D81" s="99"/>
    </row>
    <row r="82" spans="1:4">
      <c r="A82" s="99"/>
      <c r="B82" s="99"/>
      <c r="C82" s="99"/>
      <c r="D82" s="99"/>
    </row>
  </sheetData>
  <mergeCells count="704">
    <mergeCell ref="BZ37:CD37"/>
    <mergeCell ref="CE37:CI37"/>
    <mergeCell ref="CJ37:CN37"/>
    <mergeCell ref="CO37:CS37"/>
    <mergeCell ref="CT37:CX38"/>
    <mergeCell ref="L38:P38"/>
    <mergeCell ref="Q38:AG38"/>
    <mergeCell ref="AH38:AI38"/>
    <mergeCell ref="BK38:CS38"/>
    <mergeCell ref="AX37:BB37"/>
    <mergeCell ref="BC37:BD37"/>
    <mergeCell ref="BE37:BI37"/>
    <mergeCell ref="BK37:BO37"/>
    <mergeCell ref="BP37:BT37"/>
    <mergeCell ref="BU37:BY37"/>
    <mergeCell ref="EX36:FB36"/>
    <mergeCell ref="FC36:FG36"/>
    <mergeCell ref="FH36:FL36"/>
    <mergeCell ref="FM36:FQ36"/>
    <mergeCell ref="C37:J38"/>
    <mergeCell ref="L37:P37"/>
    <mergeCell ref="Q37:AG37"/>
    <mergeCell ref="AH37:AI37"/>
    <mergeCell ref="AJ37:AQ37"/>
    <mergeCell ref="AR37:AV37"/>
    <mergeCell ref="DV36:DW36"/>
    <mergeCell ref="DX36:EB36"/>
    <mergeCell ref="ED36:EH36"/>
    <mergeCell ref="EI36:EM36"/>
    <mergeCell ref="EN36:ER36"/>
    <mergeCell ref="ES36:EW36"/>
    <mergeCell ref="CO36:CS36"/>
    <mergeCell ref="CT36:CX36"/>
    <mergeCell ref="DD36:DG36"/>
    <mergeCell ref="DH36:DJ36"/>
    <mergeCell ref="DK36:DO36"/>
    <mergeCell ref="DQ36:DU36"/>
    <mergeCell ref="BK36:BO36"/>
    <mergeCell ref="BP36:BT36"/>
    <mergeCell ref="BU36:BY36"/>
    <mergeCell ref="BZ36:CD36"/>
    <mergeCell ref="CE36:CI36"/>
    <mergeCell ref="CJ36:CN36"/>
    <mergeCell ref="FM35:FQ35"/>
    <mergeCell ref="L36:P36"/>
    <mergeCell ref="Q36:AG36"/>
    <mergeCell ref="AH36:AI36"/>
    <mergeCell ref="AK36:AN36"/>
    <mergeCell ref="AO36:AQ36"/>
    <mergeCell ref="AR36:AV36"/>
    <mergeCell ref="AX36:BB36"/>
    <mergeCell ref="BC36:BD36"/>
    <mergeCell ref="BE36:BI36"/>
    <mergeCell ref="EI35:EM35"/>
    <mergeCell ref="EN35:ER35"/>
    <mergeCell ref="ES35:EW35"/>
    <mergeCell ref="EX35:FB35"/>
    <mergeCell ref="FC35:FG35"/>
    <mergeCell ref="FH35:FL35"/>
    <mergeCell ref="DH35:DJ35"/>
    <mergeCell ref="DK35:DO35"/>
    <mergeCell ref="DQ35:DU35"/>
    <mergeCell ref="DV35:DW35"/>
    <mergeCell ref="CE35:CI35"/>
    <mergeCell ref="CJ35:CN35"/>
    <mergeCell ref="CO35:CS35"/>
    <mergeCell ref="CT35:CX35"/>
    <mergeCell ref="DD35:DG35"/>
    <mergeCell ref="AX35:BB35"/>
    <mergeCell ref="BC35:BD35"/>
    <mergeCell ref="BE35:BI35"/>
    <mergeCell ref="BK35:BO35"/>
    <mergeCell ref="BP35:BT35"/>
    <mergeCell ref="BU35:BY35"/>
    <mergeCell ref="L35:P35"/>
    <mergeCell ref="Q35:AG35"/>
    <mergeCell ref="AH35:AI35"/>
    <mergeCell ref="AK35:AN35"/>
    <mergeCell ref="AO35:AQ35"/>
    <mergeCell ref="AR35:AV35"/>
    <mergeCell ref="EN34:ER34"/>
    <mergeCell ref="ES34:EW34"/>
    <mergeCell ref="EX34:FB34"/>
    <mergeCell ref="CE34:CI34"/>
    <mergeCell ref="CJ34:CN34"/>
    <mergeCell ref="CO34:CS34"/>
    <mergeCell ref="CT34:CX34"/>
    <mergeCell ref="DD34:DG34"/>
    <mergeCell ref="DH34:DJ34"/>
    <mergeCell ref="BC34:BD34"/>
    <mergeCell ref="BE34:BI34"/>
    <mergeCell ref="BK34:BO34"/>
    <mergeCell ref="BP34:BT34"/>
    <mergeCell ref="BU34:BY34"/>
    <mergeCell ref="BZ34:CD34"/>
    <mergeCell ref="DX35:EB35"/>
    <mergeCell ref="ED35:EH35"/>
    <mergeCell ref="BZ35:CD35"/>
    <mergeCell ref="FC34:FG34"/>
    <mergeCell ref="FH34:FL34"/>
    <mergeCell ref="FM34:FQ34"/>
    <mergeCell ref="DK34:DO34"/>
    <mergeCell ref="DQ34:DU34"/>
    <mergeCell ref="DV34:DW34"/>
    <mergeCell ref="DX34:EB34"/>
    <mergeCell ref="ED34:EH34"/>
    <mergeCell ref="EI34:EM34"/>
    <mergeCell ref="FH33:FL33"/>
    <mergeCell ref="FM33:FQ33"/>
    <mergeCell ref="C34:J36"/>
    <mergeCell ref="L34:P34"/>
    <mergeCell ref="Q34:AG34"/>
    <mergeCell ref="AH34:AI34"/>
    <mergeCell ref="AK34:AN34"/>
    <mergeCell ref="AO34:AQ34"/>
    <mergeCell ref="AR34:AV34"/>
    <mergeCell ref="AX34:BB34"/>
    <mergeCell ref="ED33:EH33"/>
    <mergeCell ref="EI33:EM33"/>
    <mergeCell ref="EN33:ER33"/>
    <mergeCell ref="ES33:EW33"/>
    <mergeCell ref="EX33:FB33"/>
    <mergeCell ref="FC33:FG33"/>
    <mergeCell ref="DD33:DG33"/>
    <mergeCell ref="DH33:DJ33"/>
    <mergeCell ref="DK33:DO33"/>
    <mergeCell ref="DQ33:DU33"/>
    <mergeCell ref="DV33:DW33"/>
    <mergeCell ref="DX33:EB33"/>
    <mergeCell ref="BU33:BY33"/>
    <mergeCell ref="BZ33:CD33"/>
    <mergeCell ref="CE33:CI33"/>
    <mergeCell ref="CJ33:CN33"/>
    <mergeCell ref="CO33:CS33"/>
    <mergeCell ref="CT33:CX33"/>
    <mergeCell ref="AR33:AV33"/>
    <mergeCell ref="AX33:BB33"/>
    <mergeCell ref="BC33:BD33"/>
    <mergeCell ref="BE33:BI33"/>
    <mergeCell ref="BK33:BO33"/>
    <mergeCell ref="BP33:BT33"/>
    <mergeCell ref="C33:J33"/>
    <mergeCell ref="P33:R33"/>
    <mergeCell ref="AB33:AE33"/>
    <mergeCell ref="AH33:AI33"/>
    <mergeCell ref="AK33:AN33"/>
    <mergeCell ref="AO33:AQ33"/>
    <mergeCell ref="EN32:ER32"/>
    <mergeCell ref="ES32:EW32"/>
    <mergeCell ref="EX32:FB32"/>
    <mergeCell ref="CE32:CI32"/>
    <mergeCell ref="CJ32:CN32"/>
    <mergeCell ref="CO32:CS32"/>
    <mergeCell ref="CT32:CX32"/>
    <mergeCell ref="DD32:DG32"/>
    <mergeCell ref="DH32:DJ32"/>
    <mergeCell ref="BC32:BD32"/>
    <mergeCell ref="BE32:BI32"/>
    <mergeCell ref="BK32:BO32"/>
    <mergeCell ref="BP32:BT32"/>
    <mergeCell ref="BU32:BY32"/>
    <mergeCell ref="BZ32:CD32"/>
    <mergeCell ref="B32:AG32"/>
    <mergeCell ref="AH32:AI32"/>
    <mergeCell ref="AK32:AN32"/>
    <mergeCell ref="FC32:FG32"/>
    <mergeCell ref="FH32:FL32"/>
    <mergeCell ref="FM32:FQ32"/>
    <mergeCell ref="DK32:DO32"/>
    <mergeCell ref="DQ32:DU32"/>
    <mergeCell ref="DV32:DW32"/>
    <mergeCell ref="DX32:EB32"/>
    <mergeCell ref="ED32:EH32"/>
    <mergeCell ref="EI32:EM32"/>
    <mergeCell ref="AO32:AQ32"/>
    <mergeCell ref="AR32:AV32"/>
    <mergeCell ref="AX32:BB32"/>
    <mergeCell ref="EN31:ER31"/>
    <mergeCell ref="ES31:EW31"/>
    <mergeCell ref="EX31:FB31"/>
    <mergeCell ref="FC31:FG31"/>
    <mergeCell ref="FH31:FL31"/>
    <mergeCell ref="FM31:FQ31"/>
    <mergeCell ref="DK31:DO31"/>
    <mergeCell ref="DQ31:DU31"/>
    <mergeCell ref="DV31:DW31"/>
    <mergeCell ref="DX31:EB31"/>
    <mergeCell ref="ED31:EH31"/>
    <mergeCell ref="EI31:EM31"/>
    <mergeCell ref="CE31:CI31"/>
    <mergeCell ref="CJ31:CN31"/>
    <mergeCell ref="CO31:CS31"/>
    <mergeCell ref="CT31:CX31"/>
    <mergeCell ref="DD31:DG31"/>
    <mergeCell ref="DH31:DJ31"/>
    <mergeCell ref="BC31:BD31"/>
    <mergeCell ref="BE31:BI31"/>
    <mergeCell ref="BK31:BO31"/>
    <mergeCell ref="BP31:BT31"/>
    <mergeCell ref="BU31:BY31"/>
    <mergeCell ref="BZ31:CD31"/>
    <mergeCell ref="B31:AG31"/>
    <mergeCell ref="AH31:AI31"/>
    <mergeCell ref="AK31:AN31"/>
    <mergeCell ref="AO31:AQ31"/>
    <mergeCell ref="AR31:AV31"/>
    <mergeCell ref="AX31:BB31"/>
    <mergeCell ref="EN30:ER30"/>
    <mergeCell ref="ES30:EW30"/>
    <mergeCell ref="EX30:FB30"/>
    <mergeCell ref="FC30:FG30"/>
    <mergeCell ref="FH30:FL30"/>
    <mergeCell ref="FM30:FQ30"/>
    <mergeCell ref="DK30:DO30"/>
    <mergeCell ref="DQ30:DU30"/>
    <mergeCell ref="DV30:DW30"/>
    <mergeCell ref="DX30:EB30"/>
    <mergeCell ref="ED30:EH30"/>
    <mergeCell ref="EI30:EM30"/>
    <mergeCell ref="CT30:CX30"/>
    <mergeCell ref="DD30:DG30"/>
    <mergeCell ref="DH30:DJ30"/>
    <mergeCell ref="BC30:BD30"/>
    <mergeCell ref="BE30:BI30"/>
    <mergeCell ref="BK30:BO30"/>
    <mergeCell ref="BP30:BT30"/>
    <mergeCell ref="BU30:BY30"/>
    <mergeCell ref="BZ30:CD30"/>
    <mergeCell ref="B30:AG30"/>
    <mergeCell ref="AH30:AI30"/>
    <mergeCell ref="AK30:AN30"/>
    <mergeCell ref="AO30:AQ30"/>
    <mergeCell ref="AR30:AV30"/>
    <mergeCell ref="AX30:BB30"/>
    <mergeCell ref="EN29:ER29"/>
    <mergeCell ref="ES29:EW29"/>
    <mergeCell ref="EX29:FB29"/>
    <mergeCell ref="CE29:CI29"/>
    <mergeCell ref="CJ29:CN29"/>
    <mergeCell ref="CO29:CS29"/>
    <mergeCell ref="CT29:CX29"/>
    <mergeCell ref="DD29:DG29"/>
    <mergeCell ref="DH29:DJ29"/>
    <mergeCell ref="BC29:BD29"/>
    <mergeCell ref="BE29:BI29"/>
    <mergeCell ref="BK29:BO29"/>
    <mergeCell ref="BP29:BT29"/>
    <mergeCell ref="BU29:BY29"/>
    <mergeCell ref="BZ29:CD29"/>
    <mergeCell ref="CE30:CI30"/>
    <mergeCell ref="CJ30:CN30"/>
    <mergeCell ref="CO30:CS30"/>
    <mergeCell ref="FC29:FG29"/>
    <mergeCell ref="FH29:FL29"/>
    <mergeCell ref="FM29:FQ29"/>
    <mergeCell ref="DK29:DO29"/>
    <mergeCell ref="DQ29:DU29"/>
    <mergeCell ref="DV29:DW29"/>
    <mergeCell ref="DX29:EB29"/>
    <mergeCell ref="ED29:EH29"/>
    <mergeCell ref="EI29:EM29"/>
    <mergeCell ref="ES28:EW28"/>
    <mergeCell ref="EX28:FB28"/>
    <mergeCell ref="FC28:FG28"/>
    <mergeCell ref="FH28:FL28"/>
    <mergeCell ref="FM28:FQ28"/>
    <mergeCell ref="AH29:AI29"/>
    <mergeCell ref="AK29:AN29"/>
    <mergeCell ref="AO29:AQ29"/>
    <mergeCell ref="AR29:AV29"/>
    <mergeCell ref="AX29:BB29"/>
    <mergeCell ref="DQ28:DU28"/>
    <mergeCell ref="DV28:DW28"/>
    <mergeCell ref="DX28:EB28"/>
    <mergeCell ref="ED28:EH28"/>
    <mergeCell ref="EI28:EM28"/>
    <mergeCell ref="EN28:ER28"/>
    <mergeCell ref="CJ28:CN28"/>
    <mergeCell ref="CO28:CS28"/>
    <mergeCell ref="CT28:CX28"/>
    <mergeCell ref="DD28:DG28"/>
    <mergeCell ref="DH28:DJ28"/>
    <mergeCell ref="DK28:DO28"/>
    <mergeCell ref="BE28:BI28"/>
    <mergeCell ref="BK28:BO28"/>
    <mergeCell ref="BP28:BT28"/>
    <mergeCell ref="BU28:BY28"/>
    <mergeCell ref="BZ28:CD28"/>
    <mergeCell ref="CE28:CI28"/>
    <mergeCell ref="AH28:AI28"/>
    <mergeCell ref="AK28:AN28"/>
    <mergeCell ref="AO28:AQ28"/>
    <mergeCell ref="AR28:AV28"/>
    <mergeCell ref="AX28:BB28"/>
    <mergeCell ref="BC28:BD28"/>
    <mergeCell ref="EN27:ER27"/>
    <mergeCell ref="ES27:EW27"/>
    <mergeCell ref="EX27:FB27"/>
    <mergeCell ref="FC27:FG27"/>
    <mergeCell ref="FH27:FL27"/>
    <mergeCell ref="FM27:FQ27"/>
    <mergeCell ref="DK27:DO27"/>
    <mergeCell ref="DQ27:DU27"/>
    <mergeCell ref="DV27:DW27"/>
    <mergeCell ref="DX27:EB27"/>
    <mergeCell ref="ED27:EH27"/>
    <mergeCell ref="EI27:EM27"/>
    <mergeCell ref="CT27:CX27"/>
    <mergeCell ref="DD27:DG27"/>
    <mergeCell ref="DH27:DJ27"/>
    <mergeCell ref="BC27:BD27"/>
    <mergeCell ref="BE27:BI27"/>
    <mergeCell ref="BK27:BO27"/>
    <mergeCell ref="BP27:BT27"/>
    <mergeCell ref="BU27:BY27"/>
    <mergeCell ref="BZ27:CD27"/>
    <mergeCell ref="B27:AG27"/>
    <mergeCell ref="AH27:AI27"/>
    <mergeCell ref="AK27:AN27"/>
    <mergeCell ref="AO27:AQ27"/>
    <mergeCell ref="AR27:AV27"/>
    <mergeCell ref="AX27:BB27"/>
    <mergeCell ref="EN26:ER26"/>
    <mergeCell ref="ES26:EW26"/>
    <mergeCell ref="EX26:FB26"/>
    <mergeCell ref="CE26:CI26"/>
    <mergeCell ref="CJ26:CN26"/>
    <mergeCell ref="CO26:CS26"/>
    <mergeCell ref="CT26:CX26"/>
    <mergeCell ref="DD26:DG26"/>
    <mergeCell ref="DH26:DJ26"/>
    <mergeCell ref="BC26:BD26"/>
    <mergeCell ref="BE26:BI26"/>
    <mergeCell ref="BK26:BO26"/>
    <mergeCell ref="BP26:BT26"/>
    <mergeCell ref="BU26:BY26"/>
    <mergeCell ref="BZ26:CD26"/>
    <mergeCell ref="CE27:CI27"/>
    <mergeCell ref="CJ27:CN27"/>
    <mergeCell ref="CO27:CS27"/>
    <mergeCell ref="FC26:FG26"/>
    <mergeCell ref="FH26:FL26"/>
    <mergeCell ref="FM26:FQ26"/>
    <mergeCell ref="DK26:DO26"/>
    <mergeCell ref="DQ26:DU26"/>
    <mergeCell ref="DV26:DW26"/>
    <mergeCell ref="DX26:EB26"/>
    <mergeCell ref="ED26:EH26"/>
    <mergeCell ref="EI26:EM26"/>
    <mergeCell ref="ES25:EW25"/>
    <mergeCell ref="EX25:FB25"/>
    <mergeCell ref="FC25:FG25"/>
    <mergeCell ref="FH25:FL25"/>
    <mergeCell ref="FM25:FQ25"/>
    <mergeCell ref="B26:AG26"/>
    <mergeCell ref="AK26:AN26"/>
    <mergeCell ref="AO26:AQ26"/>
    <mergeCell ref="AR26:AV26"/>
    <mergeCell ref="AX26:BB26"/>
    <mergeCell ref="DQ25:DU25"/>
    <mergeCell ref="DV25:DW25"/>
    <mergeCell ref="DX25:EB25"/>
    <mergeCell ref="ED25:EH25"/>
    <mergeCell ref="EI25:EM25"/>
    <mergeCell ref="EN25:ER25"/>
    <mergeCell ref="CJ25:CN25"/>
    <mergeCell ref="CO25:CS25"/>
    <mergeCell ref="CT25:CX25"/>
    <mergeCell ref="DD25:DG25"/>
    <mergeCell ref="DH25:DJ25"/>
    <mergeCell ref="DK25:DO25"/>
    <mergeCell ref="BE25:BI25"/>
    <mergeCell ref="BK25:BO25"/>
    <mergeCell ref="BP25:BT25"/>
    <mergeCell ref="BU25:BY25"/>
    <mergeCell ref="BZ25:CD25"/>
    <mergeCell ref="CE25:CI25"/>
    <mergeCell ref="EX24:FB24"/>
    <mergeCell ref="FC24:FG24"/>
    <mergeCell ref="FH24:FL24"/>
    <mergeCell ref="FM24:FQ24"/>
    <mergeCell ref="B25:AG25"/>
    <mergeCell ref="AK25:AN25"/>
    <mergeCell ref="AO25:AQ25"/>
    <mergeCell ref="AR25:AV25"/>
    <mergeCell ref="AX25:BB25"/>
    <mergeCell ref="BC25:BD25"/>
    <mergeCell ref="DV24:DW24"/>
    <mergeCell ref="DX24:EB24"/>
    <mergeCell ref="ED24:EH24"/>
    <mergeCell ref="EI24:EM24"/>
    <mergeCell ref="EN24:ER24"/>
    <mergeCell ref="ES24:EW24"/>
    <mergeCell ref="CO24:CS24"/>
    <mergeCell ref="CT24:CX24"/>
    <mergeCell ref="DD24:DG24"/>
    <mergeCell ref="DH24:DJ24"/>
    <mergeCell ref="FC23:FE23"/>
    <mergeCell ref="DH23:DJ23"/>
    <mergeCell ref="DK23:DO23"/>
    <mergeCell ref="DQ23:DU23"/>
    <mergeCell ref="BZ23:CB23"/>
    <mergeCell ref="CC23:CD23"/>
    <mergeCell ref="CE23:CG23"/>
    <mergeCell ref="CH23:CI23"/>
    <mergeCell ref="CJ23:CL23"/>
    <mergeCell ref="CM23:CN23"/>
    <mergeCell ref="EI23:EK23"/>
    <mergeCell ref="EL23:EM23"/>
    <mergeCell ref="CO23:CS23"/>
    <mergeCell ref="CT23:CX23"/>
    <mergeCell ref="DD23:DG23"/>
    <mergeCell ref="DK24:DO24"/>
    <mergeCell ref="DQ24:DU24"/>
    <mergeCell ref="BK24:BO24"/>
    <mergeCell ref="BP24:BT24"/>
    <mergeCell ref="BU24:BY24"/>
    <mergeCell ref="BZ24:CD24"/>
    <mergeCell ref="CE24:CI24"/>
    <mergeCell ref="CJ24:CN24"/>
    <mergeCell ref="BK23:BM23"/>
    <mergeCell ref="BN23:BO23"/>
    <mergeCell ref="BP23:BR23"/>
    <mergeCell ref="BS23:BT23"/>
    <mergeCell ref="BU23:BW23"/>
    <mergeCell ref="BX23:BY23"/>
    <mergeCell ref="BE23:BI23"/>
    <mergeCell ref="C22:J22"/>
    <mergeCell ref="L22:S22"/>
    <mergeCell ref="T22:Z22"/>
    <mergeCell ref="AA22:AG22"/>
    <mergeCell ref="FF23:FG23"/>
    <mergeCell ref="FH23:FL23"/>
    <mergeCell ref="FM23:FQ23"/>
    <mergeCell ref="AK24:AN24"/>
    <mergeCell ref="AO24:AQ24"/>
    <mergeCell ref="AR24:AV24"/>
    <mergeCell ref="AX24:BB24"/>
    <mergeCell ref="BC24:BD24"/>
    <mergeCell ref="BE24:BI24"/>
    <mergeCell ref="EN23:EP23"/>
    <mergeCell ref="EQ23:ER23"/>
    <mergeCell ref="ES23:EU23"/>
    <mergeCell ref="EV23:EW23"/>
    <mergeCell ref="EX23:EZ23"/>
    <mergeCell ref="FA23:FB23"/>
    <mergeCell ref="DV23:DW23"/>
    <mergeCell ref="DX23:EB23"/>
    <mergeCell ref="ED23:EF23"/>
    <mergeCell ref="EG23:EH23"/>
    <mergeCell ref="B23:B24"/>
    <mergeCell ref="C23:J24"/>
    <mergeCell ref="K23:K24"/>
    <mergeCell ref="L23:AE24"/>
    <mergeCell ref="AY20:BA20"/>
    <mergeCell ref="BC20:BH20"/>
    <mergeCell ref="BI20:BK20"/>
    <mergeCell ref="BM20:BR20"/>
    <mergeCell ref="BS20:BU20"/>
    <mergeCell ref="C21:J21"/>
    <mergeCell ref="L21:U21"/>
    <mergeCell ref="V21:W21"/>
    <mergeCell ref="X21:AG21"/>
    <mergeCell ref="C20:J20"/>
    <mergeCell ref="L20:U20"/>
    <mergeCell ref="V20:W20"/>
    <mergeCell ref="X20:AG20"/>
    <mergeCell ref="AJ20:AR20"/>
    <mergeCell ref="AS20:AX20"/>
    <mergeCell ref="AK23:AN23"/>
    <mergeCell ref="AO23:AQ23"/>
    <mergeCell ref="AR23:AV23"/>
    <mergeCell ref="AX23:BB23"/>
    <mergeCell ref="BC23:BD23"/>
    <mergeCell ref="AS19:AX19"/>
    <mergeCell ref="AY19:BA19"/>
    <mergeCell ref="BC19:BH19"/>
    <mergeCell ref="BI19:BK19"/>
    <mergeCell ref="BM19:BR19"/>
    <mergeCell ref="BS19:BU19"/>
    <mergeCell ref="C18:J18"/>
    <mergeCell ref="L18:AG18"/>
    <mergeCell ref="AJ18:AR18"/>
    <mergeCell ref="C19:J19"/>
    <mergeCell ref="L19:U19"/>
    <mergeCell ref="V19:W19"/>
    <mergeCell ref="X19:AG19"/>
    <mergeCell ref="AJ19:AR19"/>
    <mergeCell ref="CP16:CT16"/>
    <mergeCell ref="CU16:CV16"/>
    <mergeCell ref="CW16:CX16"/>
    <mergeCell ref="AJ17:AR17"/>
    <mergeCell ref="AS17:AX18"/>
    <mergeCell ref="AY17:BA18"/>
    <mergeCell ref="BC17:BH18"/>
    <mergeCell ref="BI17:BK18"/>
    <mergeCell ref="BM17:BR18"/>
    <mergeCell ref="BS17:BU18"/>
    <mergeCell ref="BI16:BK16"/>
    <mergeCell ref="BM16:BR16"/>
    <mergeCell ref="BS16:BU16"/>
    <mergeCell ref="BW16:CC16"/>
    <mergeCell ref="CD16:CH16"/>
    <mergeCell ref="CI16:CO16"/>
    <mergeCell ref="C16:J17"/>
    <mergeCell ref="L16:AG17"/>
    <mergeCell ref="AJ16:AR16"/>
    <mergeCell ref="AS16:AX16"/>
    <mergeCell ref="AY16:BA16"/>
    <mergeCell ref="BC16:BH16"/>
    <mergeCell ref="BW15:CC15"/>
    <mergeCell ref="CD15:CH15"/>
    <mergeCell ref="CI15:CO15"/>
    <mergeCell ref="C14:J15"/>
    <mergeCell ref="L14:AG15"/>
    <mergeCell ref="CW15:CX15"/>
    <mergeCell ref="CP14:CT14"/>
    <mergeCell ref="CU14:CV14"/>
    <mergeCell ref="CW14:CX14"/>
    <mergeCell ref="AJ15:AR15"/>
    <mergeCell ref="AS15:AX15"/>
    <mergeCell ref="AY15:BA15"/>
    <mergeCell ref="BC15:BH15"/>
    <mergeCell ref="BI15:BK15"/>
    <mergeCell ref="BM15:BR15"/>
    <mergeCell ref="BS15:BU15"/>
    <mergeCell ref="BI14:BK14"/>
    <mergeCell ref="BM14:BR14"/>
    <mergeCell ref="BS14:BU14"/>
    <mergeCell ref="BW14:CC14"/>
    <mergeCell ref="CD14:CH14"/>
    <mergeCell ref="CI14:CO14"/>
    <mergeCell ref="AJ14:AR14"/>
    <mergeCell ref="AS14:AX14"/>
    <mergeCell ref="AY14:BA14"/>
    <mergeCell ref="BC14:BH14"/>
    <mergeCell ref="C12:J13"/>
    <mergeCell ref="L12:AG13"/>
    <mergeCell ref="BI7:BJ7"/>
    <mergeCell ref="BK7:BL7"/>
    <mergeCell ref="C9:J10"/>
    <mergeCell ref="L9:AG10"/>
    <mergeCell ref="AJ9:AK9"/>
    <mergeCell ref="AW9:BE9"/>
    <mergeCell ref="BH10:BM10"/>
    <mergeCell ref="B7:K7"/>
    <mergeCell ref="AJ7:AK7"/>
    <mergeCell ref="AW7:BB7"/>
    <mergeCell ref="BC7:BD7"/>
    <mergeCell ref="BE7:BF7"/>
    <mergeCell ref="BG7:BH7"/>
    <mergeCell ref="AJ13:AX13"/>
    <mergeCell ref="AY13:BA13"/>
    <mergeCell ref="BC13:BH13"/>
    <mergeCell ref="BI13:BK13"/>
    <mergeCell ref="BM13:BR13"/>
    <mergeCell ref="C3:AG5"/>
    <mergeCell ref="AJ3:AK3"/>
    <mergeCell ref="AW3:BB3"/>
    <mergeCell ref="BC3:BD3"/>
    <mergeCell ref="BE3:BF3"/>
    <mergeCell ref="BG3:BH3"/>
    <mergeCell ref="AW5:BE5"/>
    <mergeCell ref="C11:J11"/>
    <mergeCell ref="L11:AG11"/>
    <mergeCell ref="AS11:BA11"/>
    <mergeCell ref="BB11:BM11"/>
    <mergeCell ref="BA1:BE1"/>
    <mergeCell ref="BP2:BU3"/>
    <mergeCell ref="BV2:CA3"/>
    <mergeCell ref="CB2:CG3"/>
    <mergeCell ref="CH2:CM3"/>
    <mergeCell ref="CN2:CY3"/>
    <mergeCell ref="BI3:BJ3"/>
    <mergeCell ref="BK3:BL3"/>
    <mergeCell ref="DB5:DC5"/>
    <mergeCell ref="BP4:BU10"/>
    <mergeCell ref="BV4:CA10"/>
    <mergeCell ref="CB4:CG10"/>
    <mergeCell ref="CH4:CM10"/>
    <mergeCell ref="CN4:CS10"/>
    <mergeCell ref="CT4:CY10"/>
    <mergeCell ref="DE5:DF5"/>
    <mergeCell ref="DH5:DI5"/>
    <mergeCell ref="DB7:DC12"/>
    <mergeCell ref="DE7:DF12"/>
    <mergeCell ref="DH7:DI12"/>
    <mergeCell ref="BK40:BM40"/>
    <mergeCell ref="BN40:BO40"/>
    <mergeCell ref="BP40:BR40"/>
    <mergeCell ref="BS40:BT40"/>
    <mergeCell ref="BU40:BW40"/>
    <mergeCell ref="BX40:BY40"/>
    <mergeCell ref="BZ40:CB40"/>
    <mergeCell ref="CC40:CD40"/>
    <mergeCell ref="CE40:CG40"/>
    <mergeCell ref="CH40:CI40"/>
    <mergeCell ref="CJ40:CL40"/>
    <mergeCell ref="CM40:CN40"/>
    <mergeCell ref="CO40:CS40"/>
    <mergeCell ref="CU12:CV12"/>
    <mergeCell ref="BS13:BU13"/>
    <mergeCell ref="BW13:CC13"/>
    <mergeCell ref="CD13:CH13"/>
    <mergeCell ref="CP15:CT15"/>
    <mergeCell ref="CU15:CV15"/>
    <mergeCell ref="BK41:BO41"/>
    <mergeCell ref="BP41:BT41"/>
    <mergeCell ref="BU41:BY41"/>
    <mergeCell ref="BZ41:CD41"/>
    <mergeCell ref="CE41:CI41"/>
    <mergeCell ref="CJ41:CN41"/>
    <mergeCell ref="CO41:CS41"/>
    <mergeCell ref="BK42:BO42"/>
    <mergeCell ref="BP42:BT42"/>
    <mergeCell ref="BU42:BY42"/>
    <mergeCell ref="BZ42:CD42"/>
    <mergeCell ref="CE42:CI42"/>
    <mergeCell ref="CJ42:CN42"/>
    <mergeCell ref="CO42:CS42"/>
    <mergeCell ref="BK43:BO43"/>
    <mergeCell ref="BP43:BT43"/>
    <mergeCell ref="BU43:BY43"/>
    <mergeCell ref="BZ43:CD43"/>
    <mergeCell ref="CE43:CI43"/>
    <mergeCell ref="CJ43:CN43"/>
    <mergeCell ref="CO43:CS43"/>
    <mergeCell ref="BK44:BO44"/>
    <mergeCell ref="BP44:BT44"/>
    <mergeCell ref="BU44:BY44"/>
    <mergeCell ref="BZ44:CD44"/>
    <mergeCell ref="CE44:CI44"/>
    <mergeCell ref="CJ44:CN44"/>
    <mergeCell ref="CO44:CS44"/>
    <mergeCell ref="BK45:BO45"/>
    <mergeCell ref="BP45:BT45"/>
    <mergeCell ref="BU45:BY45"/>
    <mergeCell ref="BZ45:CD45"/>
    <mergeCell ref="CE45:CI45"/>
    <mergeCell ref="CJ45:CN45"/>
    <mergeCell ref="CO45:CS45"/>
    <mergeCell ref="BK46:BO46"/>
    <mergeCell ref="BP46:BT46"/>
    <mergeCell ref="BU46:BY46"/>
    <mergeCell ref="BZ46:CD46"/>
    <mergeCell ref="CE46:CI46"/>
    <mergeCell ref="CJ46:CN46"/>
    <mergeCell ref="CO46:CS46"/>
    <mergeCell ref="BK47:BO47"/>
    <mergeCell ref="BP47:BT47"/>
    <mergeCell ref="BU47:BY47"/>
    <mergeCell ref="BZ47:CD47"/>
    <mergeCell ref="CE47:CI47"/>
    <mergeCell ref="CJ47:CN47"/>
    <mergeCell ref="CO47:CS47"/>
    <mergeCell ref="BK48:BO48"/>
    <mergeCell ref="BP48:BT48"/>
    <mergeCell ref="BU48:BY48"/>
    <mergeCell ref="BZ48:CD48"/>
    <mergeCell ref="CE48:CI48"/>
    <mergeCell ref="CJ48:CN48"/>
    <mergeCell ref="CO48:CS48"/>
    <mergeCell ref="BK49:BO49"/>
    <mergeCell ref="BP49:BT49"/>
    <mergeCell ref="BU49:BY49"/>
    <mergeCell ref="BZ49:CD49"/>
    <mergeCell ref="CE49:CI49"/>
    <mergeCell ref="CJ49:CN49"/>
    <mergeCell ref="CO49:CS49"/>
    <mergeCell ref="BK50:BO50"/>
    <mergeCell ref="BP50:BT50"/>
    <mergeCell ref="BU50:BY50"/>
    <mergeCell ref="BZ50:CD50"/>
    <mergeCell ref="CE50:CI50"/>
    <mergeCell ref="CJ50:CN50"/>
    <mergeCell ref="CO50:CS50"/>
    <mergeCell ref="BK51:BO51"/>
    <mergeCell ref="BP51:BT51"/>
    <mergeCell ref="BU51:BY51"/>
    <mergeCell ref="BZ51:CD51"/>
    <mergeCell ref="CE51:CI51"/>
    <mergeCell ref="CJ51:CN51"/>
    <mergeCell ref="CO51:CS51"/>
    <mergeCell ref="BK52:BO52"/>
    <mergeCell ref="BP52:BT52"/>
    <mergeCell ref="BU52:BY52"/>
    <mergeCell ref="BZ52:CD52"/>
    <mergeCell ref="CE52:CI52"/>
    <mergeCell ref="CJ52:CN52"/>
    <mergeCell ref="CO52:CS52"/>
    <mergeCell ref="BK53:BO53"/>
    <mergeCell ref="BP53:BT53"/>
    <mergeCell ref="BU53:BY53"/>
    <mergeCell ref="BZ53:CD53"/>
    <mergeCell ref="CE53:CI53"/>
    <mergeCell ref="CJ53:CN53"/>
    <mergeCell ref="CO53:CS53"/>
    <mergeCell ref="BK54:BO54"/>
    <mergeCell ref="BP54:BT54"/>
    <mergeCell ref="BU54:BY54"/>
    <mergeCell ref="BZ54:CD54"/>
    <mergeCell ref="CE54:CI54"/>
    <mergeCell ref="CJ54:CN54"/>
    <mergeCell ref="CO54:CS54"/>
  </mergeCells>
  <phoneticPr fontId="10"/>
  <conditionalFormatting sqref="CT37:CX38">
    <cfRule type="expression" dxfId="0" priority="1">
      <formula>$CT37="済"</formula>
    </cfRule>
  </conditionalFormatting>
  <dataValidations count="5">
    <dataValidation type="list" allowBlank="1" showInputMessage="1" sqref="L23:AE24" xr:uid="{7B668309-E30F-472A-9A89-35BB62099942}">
      <formula1>$C$43:$C$55</formula1>
    </dataValidation>
    <dataValidation type="list" allowBlank="1" showInputMessage="1" showErrorMessage="1" sqref="CT37:CX38" xr:uid="{9F9703D2-203A-4398-B38D-F9FC59546B2B}">
      <formula1>"未,済"</formula1>
    </dataValidation>
    <dataValidation type="list" allowBlank="1" showInputMessage="1" sqref="AF23:AH24" xr:uid="{772A4E07-EC5C-47BE-9518-C4C67640F034}">
      <formula1>$P$41:$P$45</formula1>
    </dataValidation>
    <dataValidation type="list" allowBlank="1" showInputMessage="1" showErrorMessage="1" sqref="AH20:AH21" xr:uid="{1D9FF5B3-C0C0-46BB-A071-9B59C34BE556}">
      <formula1>$A$44:$A$45</formula1>
    </dataValidation>
    <dataValidation type="list" allowBlank="1" showInputMessage="1" showErrorMessage="1" sqref="AJ3:AK3" xr:uid="{661CE337-5122-426B-84D0-63817A4B3EF4}">
      <formula1>"■,□"</formula1>
    </dataValidation>
  </dataValidations>
  <printOptions horizontalCentered="1"/>
  <pageMargins left="0" right="0" top="0.39370078740157483" bottom="3.937007874015748E-2" header="0.51181102362204722" footer="0.51181102362204722"/>
  <pageSetup paperSize="9" scale="75" fitToWidth="0" fitToHeight="0" orientation="landscape" r:id="rId1"/>
  <headerFooter alignWithMargins="0"/>
  <colBreaks count="1" manualBreakCount="1">
    <brk id="103" max="37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4" name="Check Box 1">
              <controlPr defaultSize="0" autoFill="0" autoLine="0" autoPict="0">
                <anchor moveWithCells="1">
                  <from>
                    <xdr:col>54</xdr:col>
                    <xdr:colOff>19050</xdr:colOff>
                    <xdr:row>23</xdr:row>
                    <xdr:rowOff>28575</xdr:rowOff>
                  </from>
                  <to>
                    <xdr:col>56</xdr:col>
                    <xdr:colOff>57150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5" name="Check Box 2">
              <controlPr defaultSize="0" autoFill="0" autoLine="0" autoPict="0">
                <anchor moveWithCells="1">
                  <from>
                    <xdr:col>54</xdr:col>
                    <xdr:colOff>19050</xdr:colOff>
                    <xdr:row>24</xdr:row>
                    <xdr:rowOff>28575</xdr:rowOff>
                  </from>
                  <to>
                    <xdr:col>56</xdr:col>
                    <xdr:colOff>57150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6" name="Check Box 3">
              <controlPr defaultSize="0" autoFill="0" autoLine="0" autoPict="0">
                <anchor moveWithCells="1">
                  <from>
                    <xdr:col>54</xdr:col>
                    <xdr:colOff>19050</xdr:colOff>
                    <xdr:row>25</xdr:row>
                    <xdr:rowOff>28575</xdr:rowOff>
                  </from>
                  <to>
                    <xdr:col>56</xdr:col>
                    <xdr:colOff>57150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7" name="Check Box 4">
              <controlPr defaultSize="0" autoFill="0" autoLine="0" autoPict="0">
                <anchor moveWithCells="1">
                  <from>
                    <xdr:col>54</xdr:col>
                    <xdr:colOff>19050</xdr:colOff>
                    <xdr:row>26</xdr:row>
                    <xdr:rowOff>28575</xdr:rowOff>
                  </from>
                  <to>
                    <xdr:col>56</xdr:col>
                    <xdr:colOff>57150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3" r:id="rId8" name="Check Box 5">
              <controlPr defaultSize="0" autoFill="0" autoLine="0" autoPict="0">
                <anchor moveWithCells="1">
                  <from>
                    <xdr:col>54</xdr:col>
                    <xdr:colOff>19050</xdr:colOff>
                    <xdr:row>27</xdr:row>
                    <xdr:rowOff>28575</xdr:rowOff>
                  </from>
                  <to>
                    <xdr:col>56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4" r:id="rId9" name="Check Box 6">
              <controlPr defaultSize="0" autoFill="0" autoLine="0" autoPict="0">
                <anchor moveWithCells="1">
                  <from>
                    <xdr:col>54</xdr:col>
                    <xdr:colOff>19050</xdr:colOff>
                    <xdr:row>28</xdr:row>
                    <xdr:rowOff>28575</xdr:rowOff>
                  </from>
                  <to>
                    <xdr:col>56</xdr:col>
                    <xdr:colOff>57150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5" r:id="rId10" name="Check Box 7">
              <controlPr defaultSize="0" autoFill="0" autoLine="0" autoPict="0">
                <anchor moveWithCells="1">
                  <from>
                    <xdr:col>54</xdr:col>
                    <xdr:colOff>19050</xdr:colOff>
                    <xdr:row>29</xdr:row>
                    <xdr:rowOff>28575</xdr:rowOff>
                  </from>
                  <to>
                    <xdr:col>56</xdr:col>
                    <xdr:colOff>57150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6" r:id="rId11" name="Check Box 8">
              <controlPr defaultSize="0" autoFill="0" autoLine="0" autoPict="0">
                <anchor moveWithCells="1">
                  <from>
                    <xdr:col>54</xdr:col>
                    <xdr:colOff>19050</xdr:colOff>
                    <xdr:row>30</xdr:row>
                    <xdr:rowOff>28575</xdr:rowOff>
                  </from>
                  <to>
                    <xdr:col>56</xdr:col>
                    <xdr:colOff>57150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7" r:id="rId12" name="Check Box 9">
              <controlPr defaultSize="0" autoFill="0" autoLine="0" autoPict="0">
                <anchor moveWithCells="1">
                  <from>
                    <xdr:col>54</xdr:col>
                    <xdr:colOff>19050</xdr:colOff>
                    <xdr:row>31</xdr:row>
                    <xdr:rowOff>28575</xdr:rowOff>
                  </from>
                  <to>
                    <xdr:col>56</xdr:col>
                    <xdr:colOff>57150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8" r:id="rId13" name="Check Box 10">
              <controlPr defaultSize="0" autoFill="0" autoLine="0" autoPict="0">
                <anchor moveWithCells="1">
                  <from>
                    <xdr:col>54</xdr:col>
                    <xdr:colOff>19050</xdr:colOff>
                    <xdr:row>32</xdr:row>
                    <xdr:rowOff>28575</xdr:rowOff>
                  </from>
                  <to>
                    <xdr:col>56</xdr:col>
                    <xdr:colOff>57150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9" r:id="rId14" name="Check Box 11">
              <controlPr defaultSize="0" autoFill="0" autoLine="0" autoPict="0">
                <anchor moveWithCells="1">
                  <from>
                    <xdr:col>54</xdr:col>
                    <xdr:colOff>19050</xdr:colOff>
                    <xdr:row>33</xdr:row>
                    <xdr:rowOff>28575</xdr:rowOff>
                  </from>
                  <to>
                    <xdr:col>56</xdr:col>
                    <xdr:colOff>57150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0" r:id="rId15" name="Check Box 12">
              <controlPr defaultSize="0" autoFill="0" autoLine="0" autoPict="0">
                <anchor moveWithCells="1">
                  <from>
                    <xdr:col>54</xdr:col>
                    <xdr:colOff>19050</xdr:colOff>
                    <xdr:row>34</xdr:row>
                    <xdr:rowOff>28575</xdr:rowOff>
                  </from>
                  <to>
                    <xdr:col>56</xdr:col>
                    <xdr:colOff>57150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1" r:id="rId16" name="Check Box 13">
              <controlPr defaultSize="0" autoFill="0" autoLine="0" autoPict="0">
                <anchor moveWithCells="1">
                  <from>
                    <xdr:col>54</xdr:col>
                    <xdr:colOff>19050</xdr:colOff>
                    <xdr:row>35</xdr:row>
                    <xdr:rowOff>28575</xdr:rowOff>
                  </from>
                  <to>
                    <xdr:col>56</xdr:col>
                    <xdr:colOff>57150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2" r:id="rId17" name="Check Box 14">
              <controlPr defaultSize="0" autoFill="0" autoLine="0" autoPict="0">
                <anchor moveWithCells="1">
                  <from>
                    <xdr:col>125</xdr:col>
                    <xdr:colOff>19050</xdr:colOff>
                    <xdr:row>23</xdr:row>
                    <xdr:rowOff>28575</xdr:rowOff>
                  </from>
                  <to>
                    <xdr:col>127</xdr:col>
                    <xdr:colOff>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3" r:id="rId18" name="Check Box 15">
              <controlPr defaultSize="0" autoFill="0" autoLine="0" autoPict="0">
                <anchor moveWithCells="1">
                  <from>
                    <xdr:col>125</xdr:col>
                    <xdr:colOff>19050</xdr:colOff>
                    <xdr:row>24</xdr:row>
                    <xdr:rowOff>28575</xdr:rowOff>
                  </from>
                  <to>
                    <xdr:col>127</xdr:col>
                    <xdr:colOff>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4" r:id="rId19" name="Check Box 16">
              <controlPr defaultSize="0" autoFill="0" autoLine="0" autoPict="0">
                <anchor moveWithCells="1">
                  <from>
                    <xdr:col>125</xdr:col>
                    <xdr:colOff>19050</xdr:colOff>
                    <xdr:row>25</xdr:row>
                    <xdr:rowOff>28575</xdr:rowOff>
                  </from>
                  <to>
                    <xdr:col>127</xdr:col>
                    <xdr:colOff>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5" r:id="rId20" name="Check Box 17">
              <controlPr defaultSize="0" autoFill="0" autoLine="0" autoPict="0">
                <anchor moveWithCells="1">
                  <from>
                    <xdr:col>125</xdr:col>
                    <xdr:colOff>19050</xdr:colOff>
                    <xdr:row>26</xdr:row>
                    <xdr:rowOff>28575</xdr:rowOff>
                  </from>
                  <to>
                    <xdr:col>127</xdr:col>
                    <xdr:colOff>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6" r:id="rId21" name="Check Box 18">
              <controlPr defaultSize="0" autoFill="0" autoLine="0" autoPict="0">
                <anchor moveWithCells="1">
                  <from>
                    <xdr:col>125</xdr:col>
                    <xdr:colOff>19050</xdr:colOff>
                    <xdr:row>27</xdr:row>
                    <xdr:rowOff>28575</xdr:rowOff>
                  </from>
                  <to>
                    <xdr:col>127</xdr:col>
                    <xdr:colOff>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7" r:id="rId22" name="Check Box 19">
              <controlPr defaultSize="0" autoFill="0" autoLine="0" autoPict="0">
                <anchor moveWithCells="1">
                  <from>
                    <xdr:col>125</xdr:col>
                    <xdr:colOff>19050</xdr:colOff>
                    <xdr:row>28</xdr:row>
                    <xdr:rowOff>28575</xdr:rowOff>
                  </from>
                  <to>
                    <xdr:col>127</xdr:col>
                    <xdr:colOff>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8" r:id="rId23" name="Check Box 20">
              <controlPr defaultSize="0" autoFill="0" autoLine="0" autoPict="0">
                <anchor moveWithCells="1">
                  <from>
                    <xdr:col>125</xdr:col>
                    <xdr:colOff>19050</xdr:colOff>
                    <xdr:row>29</xdr:row>
                    <xdr:rowOff>28575</xdr:rowOff>
                  </from>
                  <to>
                    <xdr:col>127</xdr:col>
                    <xdr:colOff>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9" r:id="rId24" name="Check Box 21">
              <controlPr defaultSize="0" autoFill="0" autoLine="0" autoPict="0">
                <anchor moveWithCells="1">
                  <from>
                    <xdr:col>125</xdr:col>
                    <xdr:colOff>19050</xdr:colOff>
                    <xdr:row>30</xdr:row>
                    <xdr:rowOff>28575</xdr:rowOff>
                  </from>
                  <to>
                    <xdr:col>127</xdr:col>
                    <xdr:colOff>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0" r:id="rId25" name="Check Box 22">
              <controlPr defaultSize="0" autoFill="0" autoLine="0" autoPict="0">
                <anchor moveWithCells="1">
                  <from>
                    <xdr:col>125</xdr:col>
                    <xdr:colOff>19050</xdr:colOff>
                    <xdr:row>31</xdr:row>
                    <xdr:rowOff>28575</xdr:rowOff>
                  </from>
                  <to>
                    <xdr:col>127</xdr:col>
                    <xdr:colOff>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1" r:id="rId26" name="Check Box 23">
              <controlPr defaultSize="0" autoFill="0" autoLine="0" autoPict="0">
                <anchor moveWithCells="1">
                  <from>
                    <xdr:col>125</xdr:col>
                    <xdr:colOff>19050</xdr:colOff>
                    <xdr:row>32</xdr:row>
                    <xdr:rowOff>28575</xdr:rowOff>
                  </from>
                  <to>
                    <xdr:col>127</xdr:col>
                    <xdr:colOff>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2" r:id="rId27" name="Check Box 24">
              <controlPr defaultSize="0" autoFill="0" autoLine="0" autoPict="0">
                <anchor moveWithCells="1">
                  <from>
                    <xdr:col>125</xdr:col>
                    <xdr:colOff>19050</xdr:colOff>
                    <xdr:row>33</xdr:row>
                    <xdr:rowOff>28575</xdr:rowOff>
                  </from>
                  <to>
                    <xdr:col>127</xdr:col>
                    <xdr:colOff>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3" r:id="rId28" name="Check Box 25">
              <controlPr defaultSize="0" autoFill="0" autoLine="0" autoPict="0">
                <anchor moveWithCells="1">
                  <from>
                    <xdr:col>125</xdr:col>
                    <xdr:colOff>19050</xdr:colOff>
                    <xdr:row>34</xdr:row>
                    <xdr:rowOff>28575</xdr:rowOff>
                  </from>
                  <to>
                    <xdr:col>127</xdr:col>
                    <xdr:colOff>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4" r:id="rId29" name="Check Box 26">
              <controlPr defaultSize="0" autoFill="0" autoLine="0" autoPict="0">
                <anchor moveWithCells="1">
                  <from>
                    <xdr:col>125</xdr:col>
                    <xdr:colOff>19050</xdr:colOff>
                    <xdr:row>35</xdr:row>
                    <xdr:rowOff>28575</xdr:rowOff>
                  </from>
                  <to>
                    <xdr:col>127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E15A-B857-4F7D-A5AC-2E14EB5DD901}">
  <dimension ref="A1:BY91"/>
  <sheetViews>
    <sheetView showGridLines="0" tabSelected="1" view="pageBreakPreview" zoomScaleNormal="100" zoomScaleSheetLayoutView="100" workbookViewId="0">
      <selection activeCell="O65" sqref="O65:T65"/>
    </sheetView>
  </sheetViews>
  <sheetFormatPr defaultColWidth="9" defaultRowHeight="12"/>
  <cols>
    <col min="1" max="2" width="2.625" style="87" customWidth="1"/>
    <col min="3" max="11" width="2.125" style="87" customWidth="1"/>
    <col min="12" max="13" width="2.375" style="86" customWidth="1"/>
    <col min="14" max="48" width="2.125" style="87" customWidth="1"/>
    <col min="49" max="49" width="2.5" style="87" customWidth="1"/>
    <col min="50" max="69" width="2.125" style="87" customWidth="1"/>
    <col min="70" max="70" width="5.625" style="87" customWidth="1"/>
    <col min="71" max="71" width="12.375" style="86" customWidth="1"/>
    <col min="72" max="72" width="12" style="86" customWidth="1"/>
    <col min="73" max="73" width="3" style="86" customWidth="1"/>
    <col min="74" max="74" width="9.25" style="86" bestFit="1" customWidth="1"/>
    <col min="75" max="75" width="2.5" style="87" customWidth="1"/>
    <col min="76" max="76" width="2" style="87" customWidth="1"/>
    <col min="77" max="77" width="2.25" style="87" customWidth="1"/>
    <col min="78" max="16384" width="9" style="87"/>
  </cols>
  <sheetData>
    <row r="1" spans="1:77" ht="15.75" customHeight="1">
      <c r="A1" s="183"/>
      <c r="B1" s="177" t="s">
        <v>75</v>
      </c>
      <c r="C1" s="176" t="s">
        <v>210</v>
      </c>
      <c r="D1" s="180"/>
      <c r="E1" s="180"/>
      <c r="F1" s="180"/>
      <c r="G1" s="180"/>
      <c r="H1" s="180"/>
      <c r="I1" s="180"/>
      <c r="S1" s="170"/>
      <c r="T1" s="170"/>
      <c r="U1" s="170"/>
      <c r="V1" s="170"/>
      <c r="W1" s="170"/>
      <c r="X1" s="170"/>
      <c r="Y1" s="182"/>
      <c r="AJ1" s="802" t="s">
        <v>180</v>
      </c>
      <c r="AK1" s="802"/>
      <c r="AL1" s="802"/>
      <c r="AM1" s="803">
        <v>45870</v>
      </c>
      <c r="AN1" s="803"/>
      <c r="AO1" s="803"/>
      <c r="AP1" s="803"/>
      <c r="AQ1" s="803"/>
      <c r="AR1" s="803"/>
      <c r="AS1" s="803"/>
      <c r="AT1" s="803"/>
      <c r="BD1" s="103"/>
      <c r="BE1" s="103"/>
      <c r="BF1" s="103"/>
      <c r="BG1" s="103"/>
      <c r="BH1" s="103"/>
      <c r="BI1" s="103"/>
      <c r="BJ1" s="103"/>
      <c r="BK1" s="103"/>
      <c r="BL1" s="103"/>
    </row>
    <row r="2" spans="1:77" ht="15.75" customHeight="1">
      <c r="A2" s="181"/>
      <c r="B2" s="177" t="s">
        <v>177</v>
      </c>
      <c r="C2" s="176" t="s">
        <v>179</v>
      </c>
      <c r="D2" s="180"/>
      <c r="E2" s="180"/>
      <c r="F2" s="180"/>
      <c r="G2" s="180"/>
      <c r="H2" s="180"/>
      <c r="I2" s="180"/>
      <c r="M2" s="87"/>
      <c r="U2" s="179" t="s">
        <v>244</v>
      </c>
      <c r="V2" s="179"/>
      <c r="W2" s="804"/>
      <c r="X2" s="804"/>
      <c r="Y2" s="804"/>
      <c r="Z2" s="804"/>
      <c r="AA2" s="804"/>
      <c r="AB2" s="804"/>
      <c r="AC2" s="804"/>
      <c r="AD2" s="804"/>
      <c r="AT2" s="178" t="s">
        <v>220</v>
      </c>
      <c r="AW2" s="87" t="s">
        <v>178</v>
      </c>
      <c r="BA2" s="805"/>
      <c r="BB2" s="806"/>
      <c r="BC2" s="806"/>
      <c r="BD2" s="806"/>
      <c r="BE2" s="806"/>
      <c r="BF2" s="806"/>
      <c r="BG2" s="806"/>
      <c r="BH2" s="806"/>
      <c r="BI2" s="806"/>
      <c r="BJ2" s="806"/>
      <c r="BK2" s="806"/>
      <c r="BL2" s="807"/>
      <c r="BN2" s="93"/>
      <c r="BO2" s="93"/>
      <c r="BP2" s="93"/>
    </row>
    <row r="3" spans="1:77" ht="15.75" customHeight="1" thickBot="1">
      <c r="A3" s="199"/>
      <c r="B3" s="177" t="s">
        <v>177</v>
      </c>
      <c r="C3" s="176" t="s">
        <v>176</v>
      </c>
      <c r="M3" s="176"/>
      <c r="W3" s="170"/>
      <c r="X3" s="170"/>
      <c r="Y3" s="170"/>
      <c r="Z3" s="170"/>
      <c r="AA3" s="170"/>
      <c r="AB3" s="170"/>
      <c r="AC3" s="170"/>
      <c r="AT3" s="175"/>
      <c r="AW3" s="87" t="s">
        <v>175</v>
      </c>
    </row>
    <row r="4" spans="1:77" ht="14.25" customHeight="1">
      <c r="B4" s="174" t="s">
        <v>174</v>
      </c>
      <c r="C4" s="223"/>
      <c r="D4" s="223"/>
      <c r="E4" s="223"/>
      <c r="F4" s="223"/>
      <c r="G4" s="223"/>
      <c r="H4" s="224"/>
      <c r="I4" s="808" t="e">
        <f>#REF!</f>
        <v>#REF!</v>
      </c>
      <c r="J4" s="809"/>
      <c r="K4" s="809"/>
      <c r="L4" s="80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09"/>
      <c r="X4" s="809"/>
      <c r="Y4" s="809"/>
      <c r="Z4" s="810"/>
      <c r="AA4" s="223" t="s">
        <v>209</v>
      </c>
      <c r="AB4" s="223"/>
      <c r="AC4" s="223"/>
      <c r="AD4" s="223"/>
      <c r="AE4" s="223"/>
      <c r="AF4" s="223"/>
      <c r="AG4" s="223"/>
      <c r="AH4" s="223"/>
      <c r="AI4" s="223"/>
      <c r="AJ4" s="224"/>
      <c r="AK4" s="811"/>
      <c r="AL4" s="812"/>
      <c r="AM4" s="812"/>
      <c r="AN4" s="812"/>
      <c r="AO4" s="812"/>
      <c r="AP4" s="812"/>
      <c r="AQ4" s="812"/>
      <c r="AR4" s="812"/>
      <c r="AS4" s="812"/>
      <c r="AT4" s="813"/>
      <c r="AX4" s="113" t="s">
        <v>125</v>
      </c>
      <c r="AY4" s="112"/>
      <c r="AZ4" s="112"/>
      <c r="BA4" s="112"/>
      <c r="BB4" s="112"/>
      <c r="BC4" s="112"/>
      <c r="BD4" s="112"/>
      <c r="BE4" s="112"/>
      <c r="BF4" s="112"/>
      <c r="BG4" s="814"/>
      <c r="BH4" s="814"/>
      <c r="BI4" s="814"/>
      <c r="BJ4" s="814"/>
      <c r="BK4" s="814"/>
      <c r="BL4" s="815"/>
    </row>
    <row r="5" spans="1:77" ht="14.25" customHeight="1">
      <c r="B5" s="168" t="s">
        <v>173</v>
      </c>
      <c r="C5" s="103"/>
      <c r="D5" s="103"/>
      <c r="E5" s="103"/>
      <c r="F5" s="103"/>
      <c r="G5" s="103"/>
      <c r="H5" s="102"/>
      <c r="I5" s="816" t="e">
        <f>#REF!</f>
        <v>#REF!</v>
      </c>
      <c r="J5" s="817"/>
      <c r="K5" s="817"/>
      <c r="L5" s="817"/>
      <c r="M5" s="817"/>
      <c r="N5" s="817"/>
      <c r="O5" s="817"/>
      <c r="P5" s="817"/>
      <c r="Q5" s="818"/>
      <c r="R5" s="818"/>
      <c r="S5" s="818"/>
      <c r="T5" s="818"/>
      <c r="U5" s="819"/>
      <c r="V5" s="200"/>
      <c r="W5" s="201"/>
      <c r="X5" s="202" t="s">
        <v>172</v>
      </c>
      <c r="Y5" s="201"/>
      <c r="Z5" s="203"/>
      <c r="AA5" s="103" t="s">
        <v>171</v>
      </c>
      <c r="AB5" s="103"/>
      <c r="AC5" s="103"/>
      <c r="AD5" s="103"/>
      <c r="AE5" s="103"/>
      <c r="AF5" s="103"/>
      <c r="AG5" s="103"/>
      <c r="AH5" s="103"/>
      <c r="AI5" s="103"/>
      <c r="AJ5" s="102"/>
      <c r="AK5" s="820"/>
      <c r="AL5" s="821"/>
      <c r="AM5" s="821"/>
      <c r="AN5" s="821"/>
      <c r="AO5" s="821"/>
      <c r="AP5" s="821"/>
      <c r="AQ5" s="821"/>
      <c r="AR5" s="821"/>
      <c r="AS5" s="821"/>
      <c r="AT5" s="822"/>
      <c r="AX5" s="109"/>
      <c r="AY5" s="113" t="s">
        <v>234</v>
      </c>
      <c r="AZ5" s="112"/>
      <c r="BA5" s="112"/>
      <c r="BB5" s="112"/>
      <c r="BC5" s="112"/>
      <c r="BD5" s="112"/>
      <c r="BE5" s="112"/>
      <c r="BF5" s="112"/>
      <c r="BG5" s="823">
        <v>3.5000000000000003E-2</v>
      </c>
      <c r="BH5" s="824"/>
      <c r="BI5" s="824"/>
      <c r="BJ5" s="824"/>
      <c r="BK5" s="824"/>
      <c r="BL5" s="825"/>
      <c r="BN5" s="93"/>
      <c r="BO5" s="93"/>
      <c r="BP5" s="93"/>
    </row>
    <row r="6" spans="1:77" ht="14.25" customHeight="1">
      <c r="B6" s="168" t="s">
        <v>170</v>
      </c>
      <c r="C6" s="103"/>
      <c r="D6" s="103"/>
      <c r="E6" s="103"/>
      <c r="F6" s="103"/>
      <c r="G6" s="103"/>
      <c r="H6" s="102"/>
      <c r="I6" s="826" t="e">
        <f>#REF!</f>
        <v>#REF!</v>
      </c>
      <c r="J6" s="827"/>
      <c r="K6" s="827"/>
      <c r="L6" s="827"/>
      <c r="M6" s="827"/>
      <c r="N6" s="827"/>
      <c r="O6" s="827"/>
      <c r="P6" s="827"/>
      <c r="Q6" s="226" t="s">
        <v>48</v>
      </c>
      <c r="R6" s="828" t="e">
        <f>#REF!</f>
        <v>#REF!</v>
      </c>
      <c r="S6" s="827"/>
      <c r="T6" s="827"/>
      <c r="U6" s="827"/>
      <c r="V6" s="827"/>
      <c r="W6" s="827"/>
      <c r="X6" s="827"/>
      <c r="Y6" s="827"/>
      <c r="Z6" s="829"/>
      <c r="AA6" s="103" t="s">
        <v>169</v>
      </c>
      <c r="AB6" s="103"/>
      <c r="AC6" s="103"/>
      <c r="AD6" s="103"/>
      <c r="AE6" s="103"/>
      <c r="AF6" s="103"/>
      <c r="AG6" s="103"/>
      <c r="AH6" s="103"/>
      <c r="AI6" s="103"/>
      <c r="AJ6" s="102"/>
      <c r="AK6" s="820"/>
      <c r="AL6" s="821"/>
      <c r="AM6" s="821"/>
      <c r="AN6" s="821"/>
      <c r="AO6" s="821"/>
      <c r="AP6" s="821"/>
      <c r="AQ6" s="821"/>
      <c r="AR6" s="821"/>
      <c r="AS6" s="821"/>
      <c r="AT6" s="822"/>
      <c r="AX6" s="109"/>
      <c r="AY6" s="225" t="s">
        <v>235</v>
      </c>
      <c r="AZ6" s="226"/>
      <c r="BA6" s="226"/>
      <c r="BB6" s="226"/>
      <c r="BC6" s="226"/>
      <c r="BD6" s="226"/>
      <c r="BE6" s="226"/>
      <c r="BF6" s="226"/>
      <c r="BG6" s="799"/>
      <c r="BH6" s="800"/>
      <c r="BI6" s="800"/>
      <c r="BJ6" s="800"/>
      <c r="BK6" s="800"/>
      <c r="BL6" s="801"/>
    </row>
    <row r="7" spans="1:77" ht="14.25" customHeight="1">
      <c r="B7" s="168" t="s">
        <v>168</v>
      </c>
      <c r="C7" s="103"/>
      <c r="D7" s="103"/>
      <c r="E7" s="103"/>
      <c r="F7" s="103"/>
      <c r="G7" s="103"/>
      <c r="H7" s="102"/>
      <c r="I7" s="820" t="e">
        <f>#REF!</f>
        <v>#REF!</v>
      </c>
      <c r="J7" s="821"/>
      <c r="K7" s="821"/>
      <c r="L7" s="821"/>
      <c r="M7" s="821"/>
      <c r="N7" s="821"/>
      <c r="O7" s="821"/>
      <c r="P7" s="821"/>
      <c r="Q7" s="821"/>
      <c r="R7" s="821"/>
      <c r="S7" s="821"/>
      <c r="T7" s="821"/>
      <c r="U7" s="821"/>
      <c r="V7" s="821"/>
      <c r="W7" s="821"/>
      <c r="X7" s="821"/>
      <c r="Y7" s="821"/>
      <c r="Z7" s="830"/>
      <c r="AA7" s="103" t="s">
        <v>167</v>
      </c>
      <c r="AB7" s="103"/>
      <c r="AC7" s="103"/>
      <c r="AD7" s="103"/>
      <c r="AE7" s="103"/>
      <c r="AF7" s="103"/>
      <c r="AG7" s="103"/>
      <c r="AH7" s="103"/>
      <c r="AI7" s="103"/>
      <c r="AJ7" s="102"/>
      <c r="AK7" s="820"/>
      <c r="AL7" s="821"/>
      <c r="AM7" s="821"/>
      <c r="AN7" s="821"/>
      <c r="AO7" s="821"/>
      <c r="AP7" s="821"/>
      <c r="AQ7" s="821"/>
      <c r="AR7" s="821"/>
      <c r="AS7" s="821"/>
      <c r="AT7" s="822"/>
      <c r="AX7" s="225" t="s">
        <v>232</v>
      </c>
      <c r="AY7" s="226"/>
      <c r="AZ7" s="226"/>
      <c r="BA7" s="226"/>
      <c r="BB7" s="226"/>
      <c r="BC7" s="226"/>
      <c r="BD7" s="226"/>
      <c r="BE7" s="226"/>
      <c r="BF7" s="226"/>
      <c r="BG7" s="799">
        <v>0.05</v>
      </c>
      <c r="BH7" s="800"/>
      <c r="BI7" s="800"/>
      <c r="BJ7" s="800"/>
      <c r="BK7" s="800"/>
      <c r="BL7" s="801"/>
    </row>
    <row r="8" spans="1:77" ht="14.25" customHeight="1" thickBot="1">
      <c r="B8" s="164" t="s">
        <v>166</v>
      </c>
      <c r="C8" s="162"/>
      <c r="D8" s="162"/>
      <c r="E8" s="162"/>
      <c r="F8" s="162"/>
      <c r="G8" s="162"/>
      <c r="H8" s="173"/>
      <c r="I8" s="793" t="e">
        <f>#REF!</f>
        <v>#REF!</v>
      </c>
      <c r="J8" s="794"/>
      <c r="K8" s="794"/>
      <c r="L8" s="794"/>
      <c r="M8" s="794"/>
      <c r="N8" s="794"/>
      <c r="O8" s="794"/>
      <c r="P8" s="794"/>
      <c r="Q8" s="794"/>
      <c r="R8" s="794"/>
      <c r="S8" s="794"/>
      <c r="T8" s="794"/>
      <c r="U8" s="794"/>
      <c r="V8" s="794"/>
      <c r="W8" s="794"/>
      <c r="X8" s="794"/>
      <c r="Y8" s="794"/>
      <c r="Z8" s="795"/>
      <c r="AA8" s="162" t="s">
        <v>208</v>
      </c>
      <c r="AB8" s="162"/>
      <c r="AC8" s="162"/>
      <c r="AD8" s="162"/>
      <c r="AE8" s="162"/>
      <c r="AF8" s="162"/>
      <c r="AG8" s="162"/>
      <c r="AH8" s="162"/>
      <c r="AI8" s="162"/>
      <c r="AJ8" s="173"/>
      <c r="AK8" s="796" t="e">
        <f>ROUNDDOWN(I5*1.1,0)</f>
        <v>#REF!</v>
      </c>
      <c r="AL8" s="797"/>
      <c r="AM8" s="797"/>
      <c r="AN8" s="797"/>
      <c r="AO8" s="797"/>
      <c r="AP8" s="797"/>
      <c r="AQ8" s="797"/>
      <c r="AR8" s="797"/>
      <c r="AS8" s="797"/>
      <c r="AT8" s="798"/>
      <c r="AX8" s="104" t="s">
        <v>233</v>
      </c>
      <c r="AY8" s="103"/>
      <c r="AZ8" s="103"/>
      <c r="BA8" s="103"/>
      <c r="BB8" s="103"/>
      <c r="BC8" s="103"/>
      <c r="BD8" s="103"/>
      <c r="BE8" s="103"/>
      <c r="BF8" s="103"/>
      <c r="BG8" s="799">
        <v>3.5000000000000003E-2</v>
      </c>
      <c r="BH8" s="800"/>
      <c r="BI8" s="800"/>
      <c r="BJ8" s="800"/>
      <c r="BK8" s="800"/>
      <c r="BL8" s="801"/>
    </row>
    <row r="9" spans="1:77" ht="5.25" customHeight="1" thickBot="1"/>
    <row r="10" spans="1:77" ht="14.25" customHeight="1">
      <c r="B10" s="248"/>
      <c r="C10" s="247" t="s">
        <v>165</v>
      </c>
      <c r="D10" s="247"/>
      <c r="E10" s="247"/>
      <c r="F10" s="247"/>
      <c r="G10" s="247"/>
      <c r="H10" s="246"/>
      <c r="I10" s="787"/>
      <c r="J10" s="788"/>
      <c r="K10" s="788"/>
      <c r="L10" s="788"/>
      <c r="M10" s="788"/>
      <c r="N10" s="788"/>
      <c r="O10" s="788"/>
      <c r="P10" s="788"/>
      <c r="Q10" s="788"/>
      <c r="R10" s="788"/>
      <c r="S10" s="788"/>
      <c r="T10" s="788"/>
      <c r="U10" s="788"/>
      <c r="V10" s="788"/>
      <c r="W10" s="788"/>
      <c r="X10" s="788"/>
      <c r="Y10" s="788"/>
      <c r="Z10" s="788"/>
      <c r="AA10" s="788"/>
      <c r="AB10" s="788"/>
      <c r="AC10" s="788"/>
      <c r="AD10" s="788"/>
      <c r="AE10" s="788"/>
      <c r="AF10" s="788"/>
      <c r="AG10" s="788"/>
      <c r="AH10" s="788"/>
      <c r="AI10" s="788"/>
      <c r="AJ10" s="788"/>
      <c r="AK10" s="788"/>
      <c r="AL10" s="788"/>
      <c r="AM10" s="788"/>
      <c r="AN10" s="788"/>
      <c r="AO10" s="788"/>
      <c r="AP10" s="788"/>
      <c r="AQ10" s="788"/>
      <c r="AR10" s="788"/>
      <c r="AS10" s="788"/>
      <c r="AT10" s="789"/>
    </row>
    <row r="11" spans="1:77" ht="14.25" customHeight="1" thickBot="1">
      <c r="B11" s="164"/>
      <c r="C11" s="162"/>
      <c r="D11" s="162"/>
      <c r="E11" s="162"/>
      <c r="F11" s="162"/>
      <c r="G11" s="162"/>
      <c r="H11" s="173"/>
      <c r="I11" s="790"/>
      <c r="J11" s="791"/>
      <c r="K11" s="791"/>
      <c r="L11" s="791"/>
      <c r="M11" s="791"/>
      <c r="N11" s="791"/>
      <c r="O11" s="791"/>
      <c r="P11" s="791"/>
      <c r="Q11" s="791"/>
      <c r="R11" s="791"/>
      <c r="S11" s="791"/>
      <c r="T11" s="791"/>
      <c r="U11" s="791"/>
      <c r="V11" s="791"/>
      <c r="W11" s="791"/>
      <c r="X11" s="791"/>
      <c r="Y11" s="791"/>
      <c r="Z11" s="791"/>
      <c r="AA11" s="791"/>
      <c r="AB11" s="791"/>
      <c r="AC11" s="791"/>
      <c r="AD11" s="791"/>
      <c r="AE11" s="791"/>
      <c r="AF11" s="791"/>
      <c r="AG11" s="791"/>
      <c r="AH11" s="791"/>
      <c r="AI11" s="791"/>
      <c r="AJ11" s="791"/>
      <c r="AK11" s="791"/>
      <c r="AL11" s="791"/>
      <c r="AM11" s="791"/>
      <c r="AN11" s="791"/>
      <c r="AO11" s="791"/>
      <c r="AP11" s="791"/>
      <c r="AQ11" s="791"/>
      <c r="AR11" s="791"/>
      <c r="AS11" s="791"/>
      <c r="AT11" s="792"/>
    </row>
    <row r="12" spans="1:77" ht="7.5" customHeight="1" thickBot="1"/>
    <row r="13" spans="1:77" ht="14.25" customHeight="1" thickBot="1">
      <c r="B13" s="133" t="s">
        <v>207</v>
      </c>
      <c r="C13" s="172"/>
      <c r="D13" s="131"/>
      <c r="E13" s="131"/>
      <c r="F13" s="131"/>
      <c r="G13" s="131"/>
      <c r="H13" s="131"/>
      <c r="I13" s="131"/>
      <c r="J13" s="131"/>
      <c r="K13" s="131"/>
      <c r="L13" s="132"/>
      <c r="M13" s="132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0"/>
    </row>
    <row r="14" spans="1:77" ht="14.25" customHeight="1" thickTop="1">
      <c r="B14" s="156" t="s">
        <v>142</v>
      </c>
      <c r="C14" s="103"/>
      <c r="D14" s="103" t="s">
        <v>164</v>
      </c>
      <c r="E14" s="103"/>
      <c r="F14" s="103"/>
      <c r="G14" s="103"/>
      <c r="H14" s="103"/>
      <c r="I14" s="103"/>
      <c r="J14" s="103"/>
      <c r="K14" s="104"/>
      <c r="L14" s="765" t="s">
        <v>161</v>
      </c>
      <c r="M14" s="765"/>
      <c r="N14" s="765"/>
      <c r="O14" s="765"/>
      <c r="P14" s="765"/>
      <c r="Q14" s="765"/>
      <c r="R14" s="171"/>
      <c r="S14" s="103"/>
      <c r="T14" s="103" t="s">
        <v>163</v>
      </c>
      <c r="U14" s="103"/>
      <c r="V14" s="103"/>
      <c r="W14" s="103"/>
      <c r="X14" s="103"/>
      <c r="Y14" s="103"/>
      <c r="Z14" s="103"/>
      <c r="AA14" s="104"/>
      <c r="AB14" s="765" t="s">
        <v>161</v>
      </c>
      <c r="AC14" s="765"/>
      <c r="AD14" s="765"/>
      <c r="AE14" s="765"/>
      <c r="AF14" s="765"/>
      <c r="AG14" s="171"/>
      <c r="AH14" s="103"/>
      <c r="AI14" s="103" t="s">
        <v>162</v>
      </c>
      <c r="AJ14" s="103"/>
      <c r="AK14" s="103"/>
      <c r="AL14" s="103"/>
      <c r="AM14" s="102"/>
      <c r="AN14" s="103"/>
      <c r="AO14" s="765" t="s">
        <v>161</v>
      </c>
      <c r="AP14" s="765"/>
      <c r="AQ14" s="765"/>
      <c r="AR14" s="765"/>
      <c r="AS14" s="765"/>
      <c r="AT14" s="155"/>
      <c r="BS14" s="85" t="s">
        <v>78</v>
      </c>
    </row>
    <row r="15" spans="1:77" ht="14.25" customHeight="1">
      <c r="B15" s="168">
        <v>1</v>
      </c>
      <c r="C15" s="785" t="e">
        <f>#REF!</f>
        <v>#REF!</v>
      </c>
      <c r="D15" s="665"/>
      <c r="E15" s="665"/>
      <c r="F15" s="665"/>
      <c r="G15" s="665"/>
      <c r="H15" s="665"/>
      <c r="I15" s="665"/>
      <c r="J15" s="666"/>
      <c r="K15" s="604" t="e">
        <f>#REF!</f>
        <v>#REF!</v>
      </c>
      <c r="L15" s="605"/>
      <c r="M15" s="605"/>
      <c r="N15" s="605"/>
      <c r="O15" s="605"/>
      <c r="P15" s="605"/>
      <c r="Q15" s="605"/>
      <c r="R15" s="772"/>
      <c r="S15" s="786"/>
      <c r="T15" s="665"/>
      <c r="U15" s="665"/>
      <c r="V15" s="665"/>
      <c r="W15" s="665"/>
      <c r="X15" s="665"/>
      <c r="Y15" s="665"/>
      <c r="Z15" s="666"/>
      <c r="AA15" s="604"/>
      <c r="AB15" s="605"/>
      <c r="AC15" s="605"/>
      <c r="AD15" s="605"/>
      <c r="AE15" s="605"/>
      <c r="AF15" s="605"/>
      <c r="AG15" s="772"/>
      <c r="AH15" s="773" t="s">
        <v>160</v>
      </c>
      <c r="AI15" s="665"/>
      <c r="AJ15" s="665"/>
      <c r="AK15" s="665"/>
      <c r="AL15" s="665"/>
      <c r="AM15" s="666"/>
      <c r="AN15" s="604"/>
      <c r="AO15" s="605"/>
      <c r="AP15" s="605"/>
      <c r="AQ15" s="605"/>
      <c r="AR15" s="605"/>
      <c r="AS15" s="605"/>
      <c r="AT15" s="667"/>
      <c r="AV15" s="128" t="s">
        <v>159</v>
      </c>
      <c r="AW15" s="128"/>
      <c r="AX15" s="128"/>
      <c r="AY15" s="170"/>
      <c r="AZ15" s="128"/>
      <c r="BA15" s="128"/>
      <c r="BB15" s="170"/>
      <c r="BC15" s="170"/>
      <c r="BD15" s="170"/>
      <c r="BE15" s="170"/>
      <c r="BS15" s="88">
        <v>0</v>
      </c>
      <c r="BT15" s="89">
        <v>9999</v>
      </c>
      <c r="BU15" s="90" t="e">
        <f t="shared" ref="BU15:BU44" si="0">SUM(BX15:BY15)</f>
        <v>#REF!</v>
      </c>
      <c r="BV15" s="91">
        <v>0</v>
      </c>
      <c r="BX15" s="87" t="e">
        <f>IF(BS15&gt;=$I$5,1,0)</f>
        <v>#REF!</v>
      </c>
      <c r="BY15" s="87" t="e">
        <f>IF(BT15&gt;=$I$5,1,0)</f>
        <v>#REF!</v>
      </c>
    </row>
    <row r="16" spans="1:77" ht="14.25" customHeight="1" thickBot="1">
      <c r="B16" s="168">
        <v>2</v>
      </c>
      <c r="C16" s="785" t="e">
        <f>#REF!</f>
        <v>#REF!</v>
      </c>
      <c r="D16" s="665"/>
      <c r="E16" s="665"/>
      <c r="F16" s="665"/>
      <c r="G16" s="665"/>
      <c r="H16" s="665"/>
      <c r="I16" s="665"/>
      <c r="J16" s="666"/>
      <c r="K16" s="604" t="e">
        <f>#REF!</f>
        <v>#REF!</v>
      </c>
      <c r="L16" s="605"/>
      <c r="M16" s="605"/>
      <c r="N16" s="605"/>
      <c r="O16" s="605"/>
      <c r="P16" s="605"/>
      <c r="Q16" s="605"/>
      <c r="R16" s="772"/>
      <c r="S16" s="786"/>
      <c r="T16" s="665"/>
      <c r="U16" s="665"/>
      <c r="V16" s="665"/>
      <c r="W16" s="665"/>
      <c r="X16" s="665"/>
      <c r="Y16" s="665"/>
      <c r="Z16" s="666"/>
      <c r="AA16" s="604"/>
      <c r="AB16" s="605"/>
      <c r="AC16" s="605"/>
      <c r="AD16" s="605"/>
      <c r="AE16" s="605"/>
      <c r="AF16" s="605"/>
      <c r="AG16" s="772"/>
      <c r="AH16" s="773" t="s">
        <v>158</v>
      </c>
      <c r="AI16" s="665"/>
      <c r="AJ16" s="665"/>
      <c r="AK16" s="665"/>
      <c r="AL16" s="665"/>
      <c r="AM16" s="666"/>
      <c r="AN16" s="604"/>
      <c r="AO16" s="605"/>
      <c r="AP16" s="605"/>
      <c r="AQ16" s="605"/>
      <c r="AR16" s="605"/>
      <c r="AS16" s="605"/>
      <c r="AT16" s="667"/>
      <c r="AV16" s="128"/>
      <c r="AW16" s="128" t="s">
        <v>157</v>
      </c>
      <c r="AX16" s="128"/>
      <c r="AY16" s="170"/>
      <c r="AZ16" s="128"/>
      <c r="BA16" s="128"/>
      <c r="BB16" s="170"/>
      <c r="BC16" s="170"/>
      <c r="BD16" s="170"/>
      <c r="BE16" s="170"/>
      <c r="BS16" s="88">
        <v>10000</v>
      </c>
      <c r="BT16" s="89">
        <v>2000000</v>
      </c>
      <c r="BU16" s="90" t="e">
        <f t="shared" si="0"/>
        <v>#REF!</v>
      </c>
      <c r="BV16" s="91">
        <v>200</v>
      </c>
      <c r="BX16" s="87" t="e">
        <f>IF(BS16&gt;$I$5,1,0)</f>
        <v>#REF!</v>
      </c>
      <c r="BY16" s="87" t="e">
        <f t="shared" ref="BY16:BY44" si="1">IF(BT16&gt;=$I$5,1,0)</f>
        <v>#REF!</v>
      </c>
    </row>
    <row r="17" spans="2:77" ht="14.25" customHeight="1">
      <c r="B17" s="168">
        <v>3</v>
      </c>
      <c r="C17" s="785" t="e">
        <f>#REF!</f>
        <v>#REF!</v>
      </c>
      <c r="D17" s="665"/>
      <c r="E17" s="665"/>
      <c r="F17" s="665"/>
      <c r="G17" s="665"/>
      <c r="H17" s="665"/>
      <c r="I17" s="665"/>
      <c r="J17" s="666"/>
      <c r="K17" s="604" t="e">
        <f>#REF!</f>
        <v>#REF!</v>
      </c>
      <c r="L17" s="605"/>
      <c r="M17" s="605"/>
      <c r="N17" s="605"/>
      <c r="O17" s="605"/>
      <c r="P17" s="605"/>
      <c r="Q17" s="605"/>
      <c r="R17" s="772"/>
      <c r="S17" s="786"/>
      <c r="T17" s="665"/>
      <c r="U17" s="665"/>
      <c r="V17" s="665"/>
      <c r="W17" s="665"/>
      <c r="X17" s="665"/>
      <c r="Y17" s="665"/>
      <c r="Z17" s="666"/>
      <c r="AA17" s="604"/>
      <c r="AB17" s="605"/>
      <c r="AC17" s="605"/>
      <c r="AD17" s="605"/>
      <c r="AE17" s="605"/>
      <c r="AF17" s="605"/>
      <c r="AG17" s="772"/>
      <c r="AH17" s="773" t="s">
        <v>156</v>
      </c>
      <c r="AI17" s="665"/>
      <c r="AJ17" s="665"/>
      <c r="AK17" s="665"/>
      <c r="AL17" s="665"/>
      <c r="AM17" s="666"/>
      <c r="AN17" s="604"/>
      <c r="AO17" s="605"/>
      <c r="AP17" s="605"/>
      <c r="AQ17" s="605"/>
      <c r="AR17" s="605"/>
      <c r="AS17" s="605"/>
      <c r="AT17" s="667"/>
      <c r="AV17" s="193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1"/>
      <c r="BS17" s="88">
        <v>2000001</v>
      </c>
      <c r="BT17" s="89">
        <v>3000000</v>
      </c>
      <c r="BU17" s="90" t="e">
        <f t="shared" si="0"/>
        <v>#REF!</v>
      </c>
      <c r="BV17" s="91">
        <v>500</v>
      </c>
      <c r="BX17" s="87" t="e">
        <f t="shared" ref="BX17:BX44" si="2">IF(BS17&gt;=$I$5,1,0)</f>
        <v>#REF!</v>
      </c>
      <c r="BY17" s="87" t="e">
        <f t="shared" si="1"/>
        <v>#REF!</v>
      </c>
    </row>
    <row r="18" spans="2:77" ht="14.25" customHeight="1">
      <c r="B18" s="168">
        <v>4</v>
      </c>
      <c r="C18" s="785" t="e">
        <f>#REF!</f>
        <v>#REF!</v>
      </c>
      <c r="D18" s="665"/>
      <c r="E18" s="665"/>
      <c r="F18" s="665"/>
      <c r="G18" s="665"/>
      <c r="H18" s="665"/>
      <c r="I18" s="665"/>
      <c r="J18" s="666"/>
      <c r="K18" s="604" t="e">
        <f>#REF!</f>
        <v>#REF!</v>
      </c>
      <c r="L18" s="605"/>
      <c r="M18" s="605"/>
      <c r="N18" s="605"/>
      <c r="O18" s="605"/>
      <c r="P18" s="605"/>
      <c r="Q18" s="605"/>
      <c r="R18" s="772"/>
      <c r="S18" s="786"/>
      <c r="T18" s="665"/>
      <c r="U18" s="665"/>
      <c r="V18" s="665"/>
      <c r="W18" s="665"/>
      <c r="X18" s="665"/>
      <c r="Y18" s="665"/>
      <c r="Z18" s="666"/>
      <c r="AA18" s="604"/>
      <c r="AB18" s="605"/>
      <c r="AC18" s="605"/>
      <c r="AD18" s="605"/>
      <c r="AE18" s="605"/>
      <c r="AF18" s="605"/>
      <c r="AG18" s="772"/>
      <c r="AH18" s="773"/>
      <c r="AI18" s="665"/>
      <c r="AJ18" s="665"/>
      <c r="AK18" s="665"/>
      <c r="AL18" s="665"/>
      <c r="AM18" s="666"/>
      <c r="AN18" s="604"/>
      <c r="AO18" s="605"/>
      <c r="AP18" s="605"/>
      <c r="AQ18" s="605"/>
      <c r="AR18" s="605"/>
      <c r="AS18" s="605"/>
      <c r="AT18" s="667"/>
      <c r="AV18" s="190"/>
      <c r="AW18" s="169" t="s">
        <v>155</v>
      </c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89"/>
      <c r="BS18" s="88">
        <v>3000001</v>
      </c>
      <c r="BT18" s="89">
        <v>5000000</v>
      </c>
      <c r="BU18" s="90" t="e">
        <f t="shared" si="0"/>
        <v>#REF!</v>
      </c>
      <c r="BV18" s="91">
        <v>1000</v>
      </c>
      <c r="BX18" s="87" t="e">
        <f t="shared" si="2"/>
        <v>#REF!</v>
      </c>
      <c r="BY18" s="87" t="e">
        <f t="shared" si="1"/>
        <v>#REF!</v>
      </c>
    </row>
    <row r="19" spans="2:77" ht="14.25" customHeight="1">
      <c r="B19" s="168">
        <v>5</v>
      </c>
      <c r="C19" s="785" t="e">
        <f>#REF!</f>
        <v>#REF!</v>
      </c>
      <c r="D19" s="665"/>
      <c r="E19" s="665"/>
      <c r="F19" s="665"/>
      <c r="G19" s="665"/>
      <c r="H19" s="665"/>
      <c r="I19" s="665"/>
      <c r="J19" s="666"/>
      <c r="K19" s="604" t="e">
        <f>#REF!</f>
        <v>#REF!</v>
      </c>
      <c r="L19" s="605"/>
      <c r="M19" s="605"/>
      <c r="N19" s="605"/>
      <c r="O19" s="605"/>
      <c r="P19" s="605"/>
      <c r="Q19" s="605"/>
      <c r="R19" s="772"/>
      <c r="S19" s="786"/>
      <c r="T19" s="665"/>
      <c r="U19" s="665"/>
      <c r="V19" s="665"/>
      <c r="W19" s="665"/>
      <c r="X19" s="665"/>
      <c r="Y19" s="665"/>
      <c r="Z19" s="666"/>
      <c r="AA19" s="604"/>
      <c r="AB19" s="605"/>
      <c r="AC19" s="605"/>
      <c r="AD19" s="605"/>
      <c r="AE19" s="605"/>
      <c r="AF19" s="605"/>
      <c r="AG19" s="772"/>
      <c r="AH19" s="773"/>
      <c r="AI19" s="665"/>
      <c r="AJ19" s="665"/>
      <c r="AK19" s="665"/>
      <c r="AL19" s="665"/>
      <c r="AM19" s="666"/>
      <c r="AN19" s="604"/>
      <c r="AO19" s="605"/>
      <c r="AP19" s="605"/>
      <c r="AQ19" s="605"/>
      <c r="AR19" s="605"/>
      <c r="AS19" s="605"/>
      <c r="AT19" s="667"/>
      <c r="AV19" s="190"/>
      <c r="AW19" s="167" t="s">
        <v>206</v>
      </c>
      <c r="AX19" s="165" t="s">
        <v>154</v>
      </c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89"/>
      <c r="BS19" s="88">
        <v>5000001</v>
      </c>
      <c r="BT19" s="89">
        <v>10000000</v>
      </c>
      <c r="BU19" s="90" t="e">
        <f t="shared" si="0"/>
        <v>#REF!</v>
      </c>
      <c r="BV19" s="91">
        <v>5000</v>
      </c>
      <c r="BX19" s="87" t="e">
        <f t="shared" si="2"/>
        <v>#REF!</v>
      </c>
      <c r="BY19" s="87" t="e">
        <f t="shared" si="1"/>
        <v>#REF!</v>
      </c>
    </row>
    <row r="20" spans="2:77" ht="14.25" customHeight="1">
      <c r="B20" s="168">
        <v>6</v>
      </c>
      <c r="C20" s="785" t="e">
        <f>#REF!</f>
        <v>#REF!</v>
      </c>
      <c r="D20" s="665"/>
      <c r="E20" s="665"/>
      <c r="F20" s="665"/>
      <c r="G20" s="665"/>
      <c r="H20" s="665"/>
      <c r="I20" s="665"/>
      <c r="J20" s="666"/>
      <c r="K20" s="604" t="e">
        <f>#REF!</f>
        <v>#REF!</v>
      </c>
      <c r="L20" s="605"/>
      <c r="M20" s="605"/>
      <c r="N20" s="605"/>
      <c r="O20" s="605"/>
      <c r="P20" s="605"/>
      <c r="Q20" s="605"/>
      <c r="R20" s="772"/>
      <c r="S20" s="773"/>
      <c r="T20" s="665"/>
      <c r="U20" s="665"/>
      <c r="V20" s="665"/>
      <c r="W20" s="665"/>
      <c r="X20" s="665"/>
      <c r="Y20" s="665"/>
      <c r="Z20" s="666"/>
      <c r="AA20" s="604"/>
      <c r="AB20" s="605"/>
      <c r="AC20" s="605"/>
      <c r="AD20" s="605"/>
      <c r="AE20" s="605"/>
      <c r="AF20" s="605"/>
      <c r="AG20" s="772"/>
      <c r="AH20" s="773"/>
      <c r="AI20" s="665"/>
      <c r="AJ20" s="665"/>
      <c r="AK20" s="665"/>
      <c r="AL20" s="665"/>
      <c r="AM20" s="666"/>
      <c r="AN20" s="604"/>
      <c r="AO20" s="605"/>
      <c r="AP20" s="605"/>
      <c r="AQ20" s="605"/>
      <c r="AR20" s="605"/>
      <c r="AS20" s="605"/>
      <c r="AT20" s="667"/>
      <c r="AV20" s="190"/>
      <c r="AW20" s="167"/>
      <c r="AX20" s="165" t="s">
        <v>153</v>
      </c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89"/>
      <c r="BS20" s="88">
        <v>10000001</v>
      </c>
      <c r="BT20" s="89">
        <v>50000000</v>
      </c>
      <c r="BU20" s="90" t="e">
        <f t="shared" si="0"/>
        <v>#REF!</v>
      </c>
      <c r="BV20" s="91">
        <v>10000</v>
      </c>
      <c r="BX20" s="87" t="e">
        <f t="shared" si="2"/>
        <v>#REF!</v>
      </c>
      <c r="BY20" s="87" t="e">
        <f t="shared" si="1"/>
        <v>#REF!</v>
      </c>
    </row>
    <row r="21" spans="2:77" ht="14.25" customHeight="1">
      <c r="B21" s="168">
        <v>7</v>
      </c>
      <c r="C21" s="785" t="e">
        <f>#REF!</f>
        <v>#REF!</v>
      </c>
      <c r="D21" s="665"/>
      <c r="E21" s="665"/>
      <c r="F21" s="665"/>
      <c r="G21" s="665"/>
      <c r="H21" s="665"/>
      <c r="I21" s="665"/>
      <c r="J21" s="666"/>
      <c r="K21" s="604" t="e">
        <f>#REF!</f>
        <v>#REF!</v>
      </c>
      <c r="L21" s="605"/>
      <c r="M21" s="605"/>
      <c r="N21" s="605"/>
      <c r="O21" s="605"/>
      <c r="P21" s="605"/>
      <c r="Q21" s="605"/>
      <c r="R21" s="772"/>
      <c r="S21" s="773"/>
      <c r="T21" s="665"/>
      <c r="U21" s="665"/>
      <c r="V21" s="665"/>
      <c r="W21" s="665"/>
      <c r="X21" s="665"/>
      <c r="Y21" s="665"/>
      <c r="Z21" s="666"/>
      <c r="AA21" s="604"/>
      <c r="AB21" s="605"/>
      <c r="AC21" s="605"/>
      <c r="AD21" s="605"/>
      <c r="AE21" s="605"/>
      <c r="AF21" s="605"/>
      <c r="AG21" s="772"/>
      <c r="AH21" s="773"/>
      <c r="AI21" s="665"/>
      <c r="AJ21" s="665"/>
      <c r="AK21" s="665"/>
      <c r="AL21" s="665"/>
      <c r="AM21" s="666"/>
      <c r="AN21" s="604"/>
      <c r="AO21" s="605"/>
      <c r="AP21" s="605"/>
      <c r="AQ21" s="605"/>
      <c r="AR21" s="605"/>
      <c r="AS21" s="605"/>
      <c r="AT21" s="667"/>
      <c r="AV21" s="190"/>
      <c r="AW21" s="167" t="s">
        <v>206</v>
      </c>
      <c r="AX21" s="165" t="s">
        <v>152</v>
      </c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89"/>
      <c r="BS21" s="88">
        <v>50000001</v>
      </c>
      <c r="BT21" s="89">
        <v>100000000</v>
      </c>
      <c r="BU21" s="90" t="e">
        <f t="shared" si="0"/>
        <v>#REF!</v>
      </c>
      <c r="BV21" s="91">
        <v>30000</v>
      </c>
      <c r="BX21" s="87" t="e">
        <f t="shared" si="2"/>
        <v>#REF!</v>
      </c>
      <c r="BY21" s="87" t="e">
        <f t="shared" si="1"/>
        <v>#REF!</v>
      </c>
    </row>
    <row r="22" spans="2:77" ht="14.25" customHeight="1">
      <c r="B22" s="168">
        <v>8</v>
      </c>
      <c r="C22" s="785" t="e">
        <f>#REF!</f>
        <v>#REF!</v>
      </c>
      <c r="D22" s="665"/>
      <c r="E22" s="665"/>
      <c r="F22" s="665"/>
      <c r="G22" s="665"/>
      <c r="H22" s="665"/>
      <c r="I22" s="665"/>
      <c r="J22" s="666"/>
      <c r="K22" s="604" t="e">
        <f>#REF!</f>
        <v>#REF!</v>
      </c>
      <c r="L22" s="605"/>
      <c r="M22" s="605"/>
      <c r="N22" s="605"/>
      <c r="O22" s="605"/>
      <c r="P22" s="605"/>
      <c r="Q22" s="605"/>
      <c r="R22" s="772"/>
      <c r="S22" s="773"/>
      <c r="T22" s="665"/>
      <c r="U22" s="665"/>
      <c r="V22" s="665"/>
      <c r="W22" s="665"/>
      <c r="X22" s="665"/>
      <c r="Y22" s="665"/>
      <c r="Z22" s="666"/>
      <c r="AA22" s="604"/>
      <c r="AB22" s="605"/>
      <c r="AC22" s="605"/>
      <c r="AD22" s="605"/>
      <c r="AE22" s="605"/>
      <c r="AF22" s="605"/>
      <c r="AG22" s="772"/>
      <c r="AH22" s="773"/>
      <c r="AI22" s="665"/>
      <c r="AJ22" s="665"/>
      <c r="AK22" s="665"/>
      <c r="AL22" s="665"/>
      <c r="AM22" s="666"/>
      <c r="AN22" s="604"/>
      <c r="AO22" s="605"/>
      <c r="AP22" s="605"/>
      <c r="AQ22" s="605"/>
      <c r="AR22" s="605"/>
      <c r="AS22" s="605"/>
      <c r="AT22" s="667"/>
      <c r="AV22" s="190"/>
      <c r="AW22" s="167" t="s">
        <v>206</v>
      </c>
      <c r="AX22" s="165" t="s">
        <v>151</v>
      </c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89"/>
      <c r="BS22" s="88">
        <v>100000001</v>
      </c>
      <c r="BT22" s="89">
        <v>500000000</v>
      </c>
      <c r="BU22" s="90" t="e">
        <f t="shared" si="0"/>
        <v>#REF!</v>
      </c>
      <c r="BV22" s="91">
        <v>60000</v>
      </c>
      <c r="BX22" s="87" t="e">
        <f t="shared" si="2"/>
        <v>#REF!</v>
      </c>
      <c r="BY22" s="87" t="e">
        <f t="shared" si="1"/>
        <v>#REF!</v>
      </c>
    </row>
    <row r="23" spans="2:77" ht="14.25" customHeight="1">
      <c r="B23" s="168">
        <v>9</v>
      </c>
      <c r="C23" s="785" t="e">
        <f>#REF!</f>
        <v>#REF!</v>
      </c>
      <c r="D23" s="665"/>
      <c r="E23" s="665"/>
      <c r="F23" s="665"/>
      <c r="G23" s="665"/>
      <c r="H23" s="665"/>
      <c r="I23" s="665"/>
      <c r="J23" s="666"/>
      <c r="K23" s="604" t="e">
        <f>#REF!</f>
        <v>#REF!</v>
      </c>
      <c r="L23" s="605"/>
      <c r="M23" s="605"/>
      <c r="N23" s="605"/>
      <c r="O23" s="605"/>
      <c r="P23" s="605"/>
      <c r="Q23" s="605"/>
      <c r="R23" s="772"/>
      <c r="S23" s="773"/>
      <c r="T23" s="665"/>
      <c r="U23" s="665"/>
      <c r="V23" s="665"/>
      <c r="W23" s="665"/>
      <c r="X23" s="665"/>
      <c r="Y23" s="665"/>
      <c r="Z23" s="666"/>
      <c r="AA23" s="604"/>
      <c r="AB23" s="605"/>
      <c r="AC23" s="605"/>
      <c r="AD23" s="605"/>
      <c r="AE23" s="605"/>
      <c r="AF23" s="605"/>
      <c r="AG23" s="772"/>
      <c r="AH23" s="773"/>
      <c r="AI23" s="665"/>
      <c r="AJ23" s="665"/>
      <c r="AK23" s="665"/>
      <c r="AL23" s="665"/>
      <c r="AM23" s="666"/>
      <c r="AN23" s="604"/>
      <c r="AO23" s="605"/>
      <c r="AP23" s="605"/>
      <c r="AQ23" s="605"/>
      <c r="AR23" s="605"/>
      <c r="AS23" s="605"/>
      <c r="AT23" s="667"/>
      <c r="AV23" s="190"/>
      <c r="AW23" s="167" t="s">
        <v>206</v>
      </c>
      <c r="AX23" s="165" t="s">
        <v>150</v>
      </c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89"/>
      <c r="BS23" s="88">
        <v>500000001</v>
      </c>
      <c r="BT23" s="89">
        <v>1000000000</v>
      </c>
      <c r="BU23" s="90" t="e">
        <f t="shared" si="0"/>
        <v>#REF!</v>
      </c>
      <c r="BV23" s="91">
        <v>160000</v>
      </c>
      <c r="BX23" s="87" t="e">
        <f t="shared" si="2"/>
        <v>#REF!</v>
      </c>
      <c r="BY23" s="87" t="e">
        <f t="shared" si="1"/>
        <v>#REF!</v>
      </c>
    </row>
    <row r="24" spans="2:77" ht="14.25" customHeight="1">
      <c r="B24" s="168">
        <v>10</v>
      </c>
      <c r="C24" s="785" t="e">
        <f>#REF!</f>
        <v>#REF!</v>
      </c>
      <c r="D24" s="665"/>
      <c r="E24" s="665"/>
      <c r="F24" s="665"/>
      <c r="G24" s="665"/>
      <c r="H24" s="665"/>
      <c r="I24" s="665"/>
      <c r="J24" s="666"/>
      <c r="K24" s="604" t="e">
        <f>#REF!</f>
        <v>#REF!</v>
      </c>
      <c r="L24" s="605"/>
      <c r="M24" s="605"/>
      <c r="N24" s="605"/>
      <c r="O24" s="605"/>
      <c r="P24" s="605"/>
      <c r="Q24" s="605"/>
      <c r="R24" s="772"/>
      <c r="S24" s="257"/>
      <c r="T24" s="226"/>
      <c r="U24" s="226"/>
      <c r="V24" s="226"/>
      <c r="W24" s="226"/>
      <c r="X24" s="226"/>
      <c r="Y24" s="226"/>
      <c r="Z24" s="227"/>
      <c r="AA24" s="254"/>
      <c r="AB24" s="255"/>
      <c r="AC24" s="255"/>
      <c r="AD24" s="255"/>
      <c r="AE24" s="255"/>
      <c r="AF24" s="255"/>
      <c r="AG24" s="256"/>
      <c r="AH24" s="257"/>
      <c r="AI24" s="226"/>
      <c r="AJ24" s="226"/>
      <c r="AK24" s="226"/>
      <c r="AL24" s="226"/>
      <c r="AM24" s="227"/>
      <c r="AN24" s="254"/>
      <c r="AO24" s="255"/>
      <c r="AP24" s="255"/>
      <c r="AQ24" s="255"/>
      <c r="AR24" s="255"/>
      <c r="AS24" s="255"/>
      <c r="AT24" s="258"/>
      <c r="AV24" s="190"/>
      <c r="AW24" s="167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89"/>
      <c r="BS24" s="88"/>
      <c r="BT24" s="89"/>
      <c r="BU24" s="90"/>
      <c r="BV24" s="91"/>
    </row>
    <row r="25" spans="2:77" ht="14.25" customHeight="1">
      <c r="B25" s="168">
        <v>11</v>
      </c>
      <c r="C25" s="785" t="e">
        <f>#REF!</f>
        <v>#REF!</v>
      </c>
      <c r="D25" s="665"/>
      <c r="E25" s="665"/>
      <c r="F25" s="665"/>
      <c r="G25" s="665"/>
      <c r="H25" s="665"/>
      <c r="I25" s="665"/>
      <c r="J25" s="666"/>
      <c r="K25" s="604" t="e">
        <f>#REF!</f>
        <v>#REF!</v>
      </c>
      <c r="L25" s="605"/>
      <c r="M25" s="605"/>
      <c r="N25" s="605"/>
      <c r="O25" s="605"/>
      <c r="P25" s="605"/>
      <c r="Q25" s="605"/>
      <c r="R25" s="772"/>
      <c r="S25" s="257"/>
      <c r="T25" s="226"/>
      <c r="U25" s="226"/>
      <c r="V25" s="226"/>
      <c r="W25" s="226"/>
      <c r="X25" s="226"/>
      <c r="Y25" s="226"/>
      <c r="Z25" s="227"/>
      <c r="AA25" s="254"/>
      <c r="AB25" s="255"/>
      <c r="AC25" s="255"/>
      <c r="AD25" s="255"/>
      <c r="AE25" s="255"/>
      <c r="AF25" s="255"/>
      <c r="AG25" s="256"/>
      <c r="AH25" s="257"/>
      <c r="AI25" s="226"/>
      <c r="AJ25" s="226"/>
      <c r="AK25" s="226"/>
      <c r="AL25" s="226"/>
      <c r="AM25" s="227"/>
      <c r="AN25" s="254"/>
      <c r="AO25" s="255"/>
      <c r="AP25" s="255"/>
      <c r="AQ25" s="255"/>
      <c r="AR25" s="255"/>
      <c r="AS25" s="255"/>
      <c r="AT25" s="258"/>
      <c r="AV25" s="190"/>
      <c r="AW25" s="167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89"/>
      <c r="BS25" s="88"/>
      <c r="BT25" s="89"/>
      <c r="BU25" s="90"/>
      <c r="BV25" s="91"/>
    </row>
    <row r="26" spans="2:77" ht="14.25" customHeight="1">
      <c r="B26" s="168">
        <v>12</v>
      </c>
      <c r="C26" s="785" t="e">
        <f>#REF!</f>
        <v>#REF!</v>
      </c>
      <c r="D26" s="665"/>
      <c r="E26" s="665"/>
      <c r="F26" s="665"/>
      <c r="G26" s="665"/>
      <c r="H26" s="665"/>
      <c r="I26" s="665"/>
      <c r="J26" s="666"/>
      <c r="K26" s="604" t="e">
        <f>#REF!</f>
        <v>#REF!</v>
      </c>
      <c r="L26" s="605"/>
      <c r="M26" s="605"/>
      <c r="N26" s="605"/>
      <c r="O26" s="605"/>
      <c r="P26" s="605"/>
      <c r="Q26" s="605"/>
      <c r="R26" s="772"/>
      <c r="S26" s="257"/>
      <c r="T26" s="226"/>
      <c r="U26" s="226"/>
      <c r="V26" s="226"/>
      <c r="W26" s="226"/>
      <c r="X26" s="226"/>
      <c r="Y26" s="226"/>
      <c r="Z26" s="227"/>
      <c r="AA26" s="254"/>
      <c r="AB26" s="255"/>
      <c r="AC26" s="255"/>
      <c r="AD26" s="255"/>
      <c r="AE26" s="255"/>
      <c r="AF26" s="255"/>
      <c r="AG26" s="256"/>
      <c r="AH26" s="257"/>
      <c r="AI26" s="226"/>
      <c r="AJ26" s="226"/>
      <c r="AK26" s="226"/>
      <c r="AL26" s="226"/>
      <c r="AM26" s="227"/>
      <c r="AN26" s="254"/>
      <c r="AO26" s="255"/>
      <c r="AP26" s="255"/>
      <c r="AQ26" s="255"/>
      <c r="AR26" s="255"/>
      <c r="AS26" s="255"/>
      <c r="AT26" s="258"/>
      <c r="AV26" s="190"/>
      <c r="AW26" s="167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89"/>
      <c r="BS26" s="88"/>
      <c r="BT26" s="89"/>
      <c r="BU26" s="90"/>
      <c r="BV26" s="91"/>
    </row>
    <row r="27" spans="2:77" ht="14.25" customHeight="1">
      <c r="B27" s="168">
        <v>13</v>
      </c>
      <c r="C27" s="785" t="e">
        <f>#REF!</f>
        <v>#REF!</v>
      </c>
      <c r="D27" s="665"/>
      <c r="E27" s="665"/>
      <c r="F27" s="665"/>
      <c r="G27" s="665"/>
      <c r="H27" s="665"/>
      <c r="I27" s="665"/>
      <c r="J27" s="666"/>
      <c r="K27" s="604" t="e">
        <f>#REF!</f>
        <v>#REF!</v>
      </c>
      <c r="L27" s="605"/>
      <c r="M27" s="605"/>
      <c r="N27" s="605"/>
      <c r="O27" s="605"/>
      <c r="P27" s="605"/>
      <c r="Q27" s="605"/>
      <c r="R27" s="772"/>
      <c r="S27" s="257"/>
      <c r="T27" s="226"/>
      <c r="U27" s="226"/>
      <c r="V27" s="226"/>
      <c r="W27" s="226"/>
      <c r="X27" s="226"/>
      <c r="Y27" s="226"/>
      <c r="Z27" s="227"/>
      <c r="AA27" s="254"/>
      <c r="AB27" s="255"/>
      <c r="AC27" s="255"/>
      <c r="AD27" s="255"/>
      <c r="AE27" s="255"/>
      <c r="AF27" s="255"/>
      <c r="AG27" s="256"/>
      <c r="AH27" s="257"/>
      <c r="AI27" s="226"/>
      <c r="AJ27" s="226"/>
      <c r="AK27" s="226"/>
      <c r="AL27" s="226"/>
      <c r="AM27" s="227"/>
      <c r="AN27" s="254"/>
      <c r="AO27" s="255"/>
      <c r="AP27" s="255"/>
      <c r="AQ27" s="255"/>
      <c r="AR27" s="255"/>
      <c r="AS27" s="255"/>
      <c r="AT27" s="258"/>
      <c r="AV27" s="190"/>
      <c r="AW27" s="167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89"/>
      <c r="BS27" s="88"/>
      <c r="BT27" s="89"/>
      <c r="BU27" s="90"/>
      <c r="BV27" s="91"/>
    </row>
    <row r="28" spans="2:77" ht="14.25" customHeight="1">
      <c r="B28" s="168">
        <v>14</v>
      </c>
      <c r="C28" s="834" t="e">
        <f>#REF!</f>
        <v>#REF!</v>
      </c>
      <c r="D28" s="602"/>
      <c r="E28" s="602"/>
      <c r="F28" s="602"/>
      <c r="G28" s="602"/>
      <c r="H28" s="602"/>
      <c r="I28" s="602"/>
      <c r="J28" s="603"/>
      <c r="K28" s="604" t="e">
        <f>#REF!</f>
        <v>#REF!</v>
      </c>
      <c r="L28" s="605"/>
      <c r="M28" s="605"/>
      <c r="N28" s="605"/>
      <c r="O28" s="605"/>
      <c r="P28" s="605"/>
      <c r="Q28" s="605"/>
      <c r="R28" s="772"/>
      <c r="S28" s="257"/>
      <c r="T28" s="226"/>
      <c r="U28" s="226"/>
      <c r="V28" s="226"/>
      <c r="W28" s="226"/>
      <c r="X28" s="226"/>
      <c r="Y28" s="226"/>
      <c r="Z28" s="227"/>
      <c r="AA28" s="254"/>
      <c r="AB28" s="255"/>
      <c r="AC28" s="255"/>
      <c r="AD28" s="255"/>
      <c r="AE28" s="255"/>
      <c r="AF28" s="255"/>
      <c r="AG28" s="256"/>
      <c r="AH28" s="257"/>
      <c r="AI28" s="226"/>
      <c r="AJ28" s="226"/>
      <c r="AK28" s="226"/>
      <c r="AL28" s="226"/>
      <c r="AM28" s="227"/>
      <c r="AN28" s="254"/>
      <c r="AO28" s="255"/>
      <c r="AP28" s="255"/>
      <c r="AQ28" s="255"/>
      <c r="AR28" s="255"/>
      <c r="AS28" s="255"/>
      <c r="AT28" s="258"/>
      <c r="AV28" s="190"/>
      <c r="AW28" s="167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89"/>
      <c r="BS28" s="88"/>
      <c r="BT28" s="89"/>
      <c r="BU28" s="90"/>
      <c r="BV28" s="91"/>
    </row>
    <row r="29" spans="2:77" ht="14.25" customHeight="1">
      <c r="B29" s="168">
        <v>15</v>
      </c>
      <c r="C29" s="834" t="e">
        <f>#REF!</f>
        <v>#REF!</v>
      </c>
      <c r="D29" s="602"/>
      <c r="E29" s="602"/>
      <c r="F29" s="602"/>
      <c r="G29" s="602"/>
      <c r="H29" s="602"/>
      <c r="I29" s="602"/>
      <c r="J29" s="603"/>
      <c r="K29" s="604" t="e">
        <f>#REF!</f>
        <v>#REF!</v>
      </c>
      <c r="L29" s="605"/>
      <c r="M29" s="605"/>
      <c r="N29" s="605"/>
      <c r="O29" s="605"/>
      <c r="P29" s="605"/>
      <c r="Q29" s="605"/>
      <c r="R29" s="772"/>
      <c r="S29" s="257"/>
      <c r="T29" s="226"/>
      <c r="U29" s="226"/>
      <c r="V29" s="226"/>
      <c r="W29" s="226"/>
      <c r="X29" s="226"/>
      <c r="Y29" s="226"/>
      <c r="Z29" s="227"/>
      <c r="AA29" s="254"/>
      <c r="AB29" s="255"/>
      <c r="AC29" s="255"/>
      <c r="AD29" s="255"/>
      <c r="AE29" s="255"/>
      <c r="AF29" s="255"/>
      <c r="AG29" s="256"/>
      <c r="AH29" s="257"/>
      <c r="AI29" s="226"/>
      <c r="AJ29" s="226"/>
      <c r="AK29" s="226"/>
      <c r="AL29" s="226"/>
      <c r="AM29" s="227"/>
      <c r="AN29" s="254"/>
      <c r="AO29" s="255"/>
      <c r="AP29" s="255"/>
      <c r="AQ29" s="255"/>
      <c r="AR29" s="255"/>
      <c r="AS29" s="255"/>
      <c r="AT29" s="258"/>
      <c r="AV29" s="190"/>
      <c r="AW29" s="167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89"/>
      <c r="BS29" s="88"/>
      <c r="BT29" s="89"/>
      <c r="BU29" s="90"/>
      <c r="BV29" s="91"/>
    </row>
    <row r="30" spans="2:77" ht="14.25" customHeight="1">
      <c r="B30" s="168">
        <v>16</v>
      </c>
      <c r="C30" s="834" t="e">
        <f>#REF!</f>
        <v>#REF!</v>
      </c>
      <c r="D30" s="602"/>
      <c r="E30" s="602"/>
      <c r="F30" s="602"/>
      <c r="G30" s="602"/>
      <c r="H30" s="602"/>
      <c r="I30" s="602"/>
      <c r="J30" s="603"/>
      <c r="K30" s="604" t="e">
        <f>#REF!</f>
        <v>#REF!</v>
      </c>
      <c r="L30" s="605"/>
      <c r="M30" s="605"/>
      <c r="N30" s="605"/>
      <c r="O30" s="605"/>
      <c r="P30" s="605"/>
      <c r="Q30" s="605"/>
      <c r="R30" s="772"/>
      <c r="S30" s="257"/>
      <c r="T30" s="226"/>
      <c r="U30" s="226"/>
      <c r="V30" s="226"/>
      <c r="W30" s="226"/>
      <c r="X30" s="226"/>
      <c r="Y30" s="226"/>
      <c r="Z30" s="227"/>
      <c r="AA30" s="254"/>
      <c r="AB30" s="255"/>
      <c r="AC30" s="255"/>
      <c r="AD30" s="255"/>
      <c r="AE30" s="255"/>
      <c r="AF30" s="255"/>
      <c r="AG30" s="256"/>
      <c r="AH30" s="257"/>
      <c r="AI30" s="226"/>
      <c r="AJ30" s="226"/>
      <c r="AK30" s="226"/>
      <c r="AL30" s="226"/>
      <c r="AM30" s="227"/>
      <c r="AN30" s="254"/>
      <c r="AO30" s="255"/>
      <c r="AP30" s="255"/>
      <c r="AQ30" s="255"/>
      <c r="AR30" s="255"/>
      <c r="AS30" s="255"/>
      <c r="AT30" s="258"/>
      <c r="AV30" s="190"/>
      <c r="AW30" s="167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89"/>
      <c r="BS30" s="88"/>
      <c r="BT30" s="89"/>
      <c r="BU30" s="90"/>
      <c r="BV30" s="91"/>
    </row>
    <row r="31" spans="2:77" ht="14.25" customHeight="1">
      <c r="B31" s="168">
        <v>17</v>
      </c>
      <c r="C31" s="834" t="e">
        <f>#REF!</f>
        <v>#REF!</v>
      </c>
      <c r="D31" s="602"/>
      <c r="E31" s="602"/>
      <c r="F31" s="602"/>
      <c r="G31" s="602"/>
      <c r="H31" s="602"/>
      <c r="I31" s="602"/>
      <c r="J31" s="603"/>
      <c r="K31" s="604" t="e">
        <f>#REF!</f>
        <v>#REF!</v>
      </c>
      <c r="L31" s="605"/>
      <c r="M31" s="605"/>
      <c r="N31" s="605"/>
      <c r="O31" s="605"/>
      <c r="P31" s="605"/>
      <c r="Q31" s="605"/>
      <c r="R31" s="772"/>
      <c r="S31" s="257"/>
      <c r="T31" s="226"/>
      <c r="U31" s="226"/>
      <c r="V31" s="226"/>
      <c r="W31" s="226"/>
      <c r="X31" s="226"/>
      <c r="Y31" s="226"/>
      <c r="Z31" s="227"/>
      <c r="AA31" s="254"/>
      <c r="AB31" s="255"/>
      <c r="AC31" s="255"/>
      <c r="AD31" s="255"/>
      <c r="AE31" s="255"/>
      <c r="AF31" s="255"/>
      <c r="AG31" s="256"/>
      <c r="AH31" s="257"/>
      <c r="AI31" s="226"/>
      <c r="AJ31" s="226"/>
      <c r="AK31" s="226"/>
      <c r="AL31" s="226"/>
      <c r="AM31" s="227"/>
      <c r="AN31" s="254"/>
      <c r="AO31" s="255"/>
      <c r="AP31" s="255"/>
      <c r="AQ31" s="255"/>
      <c r="AR31" s="255"/>
      <c r="AS31" s="255"/>
      <c r="AT31" s="258"/>
      <c r="AV31" s="190"/>
      <c r="AW31" s="167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89"/>
      <c r="BS31" s="88"/>
      <c r="BT31" s="89"/>
      <c r="BU31" s="90"/>
      <c r="BV31" s="91"/>
    </row>
    <row r="32" spans="2:77" ht="13.9" customHeight="1">
      <c r="B32" s="168">
        <v>18</v>
      </c>
      <c r="C32" s="834" t="e">
        <f>#REF!</f>
        <v>#REF!</v>
      </c>
      <c r="D32" s="602"/>
      <c r="E32" s="602"/>
      <c r="F32" s="602"/>
      <c r="G32" s="602"/>
      <c r="H32" s="602"/>
      <c r="I32" s="602"/>
      <c r="J32" s="603"/>
      <c r="K32" s="604" t="e">
        <f>#REF!</f>
        <v>#REF!</v>
      </c>
      <c r="L32" s="605"/>
      <c r="M32" s="605"/>
      <c r="N32" s="605"/>
      <c r="O32" s="605"/>
      <c r="P32" s="605"/>
      <c r="Q32" s="605"/>
      <c r="R32" s="772"/>
      <c r="S32" s="257"/>
      <c r="T32" s="226"/>
      <c r="U32" s="226"/>
      <c r="V32" s="226"/>
      <c r="W32" s="226"/>
      <c r="X32" s="226"/>
      <c r="Y32" s="226"/>
      <c r="Z32" s="227"/>
      <c r="AA32" s="254"/>
      <c r="AB32" s="255"/>
      <c r="AC32" s="255"/>
      <c r="AD32" s="255"/>
      <c r="AE32" s="255"/>
      <c r="AF32" s="255"/>
      <c r="AG32" s="256"/>
      <c r="AH32" s="257"/>
      <c r="AI32" s="226"/>
      <c r="AJ32" s="226"/>
      <c r="AK32" s="226"/>
      <c r="AL32" s="226"/>
      <c r="AM32" s="227"/>
      <c r="AN32" s="254"/>
      <c r="AO32" s="255"/>
      <c r="AP32" s="255"/>
      <c r="AQ32" s="255"/>
      <c r="AR32" s="255"/>
      <c r="AS32" s="255"/>
      <c r="AT32" s="258"/>
      <c r="AV32" s="190"/>
      <c r="AW32" s="167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89"/>
      <c r="BS32" s="88"/>
      <c r="BT32" s="89"/>
      <c r="BU32" s="90"/>
      <c r="BV32" s="91"/>
    </row>
    <row r="33" spans="2:77" ht="13.9" customHeight="1">
      <c r="B33" s="168">
        <v>19</v>
      </c>
      <c r="C33" s="834" t="e">
        <f>#REF!</f>
        <v>#REF!</v>
      </c>
      <c r="D33" s="602"/>
      <c r="E33" s="602"/>
      <c r="F33" s="602"/>
      <c r="G33" s="602"/>
      <c r="H33" s="602"/>
      <c r="I33" s="602"/>
      <c r="J33" s="603"/>
      <c r="K33" s="604" t="e">
        <f>#REF!</f>
        <v>#REF!</v>
      </c>
      <c r="L33" s="605"/>
      <c r="M33" s="605"/>
      <c r="N33" s="605"/>
      <c r="O33" s="605"/>
      <c r="P33" s="605"/>
      <c r="Q33" s="605"/>
      <c r="R33" s="772"/>
      <c r="S33" s="257"/>
      <c r="T33" s="226"/>
      <c r="U33" s="226"/>
      <c r="V33" s="226"/>
      <c r="W33" s="226"/>
      <c r="X33" s="226"/>
      <c r="Y33" s="226"/>
      <c r="Z33" s="227"/>
      <c r="AA33" s="254"/>
      <c r="AB33" s="255"/>
      <c r="AC33" s="255"/>
      <c r="AD33" s="255"/>
      <c r="AE33" s="255"/>
      <c r="AF33" s="255"/>
      <c r="AG33" s="256"/>
      <c r="AH33" s="257"/>
      <c r="AI33" s="226"/>
      <c r="AJ33" s="226"/>
      <c r="AK33" s="226"/>
      <c r="AL33" s="226"/>
      <c r="AM33" s="227"/>
      <c r="AN33" s="254"/>
      <c r="AO33" s="255"/>
      <c r="AP33" s="255"/>
      <c r="AQ33" s="255"/>
      <c r="AR33" s="255"/>
      <c r="AS33" s="255"/>
      <c r="AT33" s="258"/>
      <c r="AV33" s="190"/>
      <c r="AW33" s="167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89"/>
      <c r="BS33" s="88"/>
      <c r="BT33" s="89"/>
      <c r="BU33" s="90"/>
      <c r="BV33" s="91"/>
    </row>
    <row r="34" spans="2:77" ht="13.9" customHeight="1">
      <c r="B34" s="168">
        <v>20</v>
      </c>
      <c r="C34" s="834" t="e">
        <f>#REF!</f>
        <v>#REF!</v>
      </c>
      <c r="D34" s="602"/>
      <c r="E34" s="602"/>
      <c r="F34" s="602"/>
      <c r="G34" s="602"/>
      <c r="H34" s="602"/>
      <c r="I34" s="602"/>
      <c r="J34" s="603"/>
      <c r="K34" s="604" t="e">
        <f>#REF!</f>
        <v>#REF!</v>
      </c>
      <c r="L34" s="605"/>
      <c r="M34" s="605"/>
      <c r="N34" s="605"/>
      <c r="O34" s="605"/>
      <c r="P34" s="605"/>
      <c r="Q34" s="605"/>
      <c r="R34" s="772"/>
      <c r="S34" s="257"/>
      <c r="T34" s="226"/>
      <c r="U34" s="226"/>
      <c r="V34" s="226"/>
      <c r="W34" s="226"/>
      <c r="X34" s="226"/>
      <c r="Y34" s="226"/>
      <c r="Z34" s="227"/>
      <c r="AA34" s="254"/>
      <c r="AB34" s="255"/>
      <c r="AC34" s="255"/>
      <c r="AD34" s="255"/>
      <c r="AE34" s="255"/>
      <c r="AF34" s="255"/>
      <c r="AG34" s="256"/>
      <c r="AH34" s="257"/>
      <c r="AI34" s="226"/>
      <c r="AJ34" s="226"/>
      <c r="AK34" s="226"/>
      <c r="AL34" s="226"/>
      <c r="AM34" s="227"/>
      <c r="AN34" s="254"/>
      <c r="AO34" s="255"/>
      <c r="AP34" s="255"/>
      <c r="AQ34" s="255"/>
      <c r="AR34" s="255"/>
      <c r="AS34" s="255"/>
      <c r="AT34" s="258"/>
      <c r="AV34" s="190"/>
      <c r="AW34" s="167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89"/>
      <c r="BS34" s="88"/>
      <c r="BT34" s="89"/>
      <c r="BU34" s="90"/>
      <c r="BV34" s="91"/>
    </row>
    <row r="35" spans="2:77" ht="13.9" customHeight="1">
      <c r="B35" s="168">
        <v>21</v>
      </c>
      <c r="C35" s="834" t="e">
        <f>#REF!</f>
        <v>#REF!</v>
      </c>
      <c r="D35" s="602"/>
      <c r="E35" s="602"/>
      <c r="F35" s="602"/>
      <c r="G35" s="602"/>
      <c r="H35" s="602"/>
      <c r="I35" s="602"/>
      <c r="J35" s="603"/>
      <c r="K35" s="604" t="e">
        <f>#REF!</f>
        <v>#REF!</v>
      </c>
      <c r="L35" s="605"/>
      <c r="M35" s="605"/>
      <c r="N35" s="605"/>
      <c r="O35" s="605"/>
      <c r="P35" s="605"/>
      <c r="Q35" s="605"/>
      <c r="R35" s="772"/>
      <c r="S35" s="257"/>
      <c r="T35" s="226"/>
      <c r="U35" s="226"/>
      <c r="V35" s="226"/>
      <c r="W35" s="226"/>
      <c r="X35" s="226"/>
      <c r="Y35" s="226"/>
      <c r="Z35" s="227"/>
      <c r="AA35" s="254"/>
      <c r="AB35" s="255"/>
      <c r="AC35" s="255"/>
      <c r="AD35" s="255"/>
      <c r="AE35" s="255"/>
      <c r="AF35" s="255"/>
      <c r="AG35" s="256"/>
      <c r="AH35" s="257"/>
      <c r="AI35" s="226"/>
      <c r="AJ35" s="226"/>
      <c r="AK35" s="226"/>
      <c r="AL35" s="226"/>
      <c r="AM35" s="227"/>
      <c r="AN35" s="254"/>
      <c r="AO35" s="255"/>
      <c r="AP35" s="255"/>
      <c r="AQ35" s="255"/>
      <c r="AR35" s="255"/>
      <c r="AS35" s="255"/>
      <c r="AT35" s="258"/>
      <c r="AV35" s="190"/>
      <c r="AW35" s="167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89"/>
      <c r="BS35" s="88"/>
      <c r="BT35" s="89"/>
      <c r="BU35" s="90"/>
      <c r="BV35" s="91"/>
    </row>
    <row r="36" spans="2:77" ht="13.9" customHeight="1">
      <c r="B36" s="168">
        <v>22</v>
      </c>
      <c r="C36" s="834" t="e">
        <f>#REF!</f>
        <v>#REF!</v>
      </c>
      <c r="D36" s="602"/>
      <c r="E36" s="602"/>
      <c r="F36" s="602"/>
      <c r="G36" s="602"/>
      <c r="H36" s="602"/>
      <c r="I36" s="602"/>
      <c r="J36" s="603"/>
      <c r="K36" s="604" t="e">
        <f>#REF!</f>
        <v>#REF!</v>
      </c>
      <c r="L36" s="605"/>
      <c r="M36" s="605"/>
      <c r="N36" s="605"/>
      <c r="O36" s="605"/>
      <c r="P36" s="605"/>
      <c r="Q36" s="605"/>
      <c r="R36" s="772"/>
      <c r="S36" s="257"/>
      <c r="T36" s="226"/>
      <c r="U36" s="226"/>
      <c r="V36" s="226"/>
      <c r="W36" s="226"/>
      <c r="X36" s="226"/>
      <c r="Y36" s="226"/>
      <c r="Z36" s="227"/>
      <c r="AA36" s="254"/>
      <c r="AB36" s="255"/>
      <c r="AC36" s="255"/>
      <c r="AD36" s="255"/>
      <c r="AE36" s="255"/>
      <c r="AF36" s="255"/>
      <c r="AG36" s="256"/>
      <c r="AH36" s="257"/>
      <c r="AI36" s="226"/>
      <c r="AJ36" s="226"/>
      <c r="AK36" s="226"/>
      <c r="AL36" s="226"/>
      <c r="AM36" s="227"/>
      <c r="AN36" s="254"/>
      <c r="AO36" s="255"/>
      <c r="AP36" s="255"/>
      <c r="AQ36" s="255"/>
      <c r="AR36" s="255"/>
      <c r="AS36" s="255"/>
      <c r="AT36" s="258"/>
      <c r="AV36" s="190"/>
      <c r="AW36" s="167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89"/>
      <c r="BS36" s="88"/>
      <c r="BT36" s="89"/>
      <c r="BU36" s="90"/>
      <c r="BV36" s="91"/>
    </row>
    <row r="37" spans="2:77" ht="13.9" customHeight="1">
      <c r="B37" s="168">
        <v>23</v>
      </c>
      <c r="C37" s="834" t="e">
        <f>#REF!</f>
        <v>#REF!</v>
      </c>
      <c r="D37" s="602"/>
      <c r="E37" s="602"/>
      <c r="F37" s="602"/>
      <c r="G37" s="602"/>
      <c r="H37" s="602"/>
      <c r="I37" s="602"/>
      <c r="J37" s="603"/>
      <c r="K37" s="604" t="e">
        <f>#REF!</f>
        <v>#REF!</v>
      </c>
      <c r="L37" s="605"/>
      <c r="M37" s="605"/>
      <c r="N37" s="605"/>
      <c r="O37" s="605"/>
      <c r="P37" s="605"/>
      <c r="Q37" s="605"/>
      <c r="R37" s="772"/>
      <c r="S37" s="257"/>
      <c r="T37" s="226"/>
      <c r="U37" s="226"/>
      <c r="V37" s="226"/>
      <c r="W37" s="226"/>
      <c r="X37" s="226"/>
      <c r="Y37" s="226"/>
      <c r="Z37" s="227"/>
      <c r="AA37" s="254"/>
      <c r="AB37" s="255"/>
      <c r="AC37" s="255"/>
      <c r="AD37" s="255"/>
      <c r="AE37" s="255"/>
      <c r="AF37" s="255"/>
      <c r="AG37" s="256"/>
      <c r="AH37" s="257"/>
      <c r="AI37" s="226"/>
      <c r="AJ37" s="226"/>
      <c r="AK37" s="226"/>
      <c r="AL37" s="226"/>
      <c r="AM37" s="227"/>
      <c r="AN37" s="254"/>
      <c r="AO37" s="255"/>
      <c r="AP37" s="255"/>
      <c r="AQ37" s="255"/>
      <c r="AR37" s="255"/>
      <c r="AS37" s="255"/>
      <c r="AT37" s="258"/>
      <c r="AV37" s="190"/>
      <c r="AW37" s="167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89"/>
      <c r="BS37" s="88"/>
      <c r="BT37" s="89"/>
      <c r="BU37" s="90"/>
      <c r="BV37" s="91"/>
    </row>
    <row r="38" spans="2:77" ht="13.9" customHeight="1">
      <c r="B38" s="168">
        <v>24</v>
      </c>
      <c r="C38" s="834" t="e">
        <f>#REF!</f>
        <v>#REF!</v>
      </c>
      <c r="D38" s="602"/>
      <c r="E38" s="602"/>
      <c r="F38" s="602"/>
      <c r="G38" s="602"/>
      <c r="H38" s="602"/>
      <c r="I38" s="602"/>
      <c r="J38" s="603"/>
      <c r="K38" s="604" t="e">
        <f>#REF!</f>
        <v>#REF!</v>
      </c>
      <c r="L38" s="605"/>
      <c r="M38" s="605"/>
      <c r="N38" s="605"/>
      <c r="O38" s="605"/>
      <c r="P38" s="605"/>
      <c r="Q38" s="605"/>
      <c r="R38" s="772"/>
      <c r="S38" s="257"/>
      <c r="T38" s="226"/>
      <c r="U38" s="226"/>
      <c r="V38" s="226"/>
      <c r="W38" s="226"/>
      <c r="X38" s="226"/>
      <c r="Y38" s="226"/>
      <c r="Z38" s="227"/>
      <c r="AA38" s="254"/>
      <c r="AB38" s="255"/>
      <c r="AC38" s="255"/>
      <c r="AD38" s="255"/>
      <c r="AE38" s="255"/>
      <c r="AF38" s="255"/>
      <c r="AG38" s="256"/>
      <c r="AH38" s="257"/>
      <c r="AI38" s="226"/>
      <c r="AJ38" s="226"/>
      <c r="AK38" s="226"/>
      <c r="AL38" s="226"/>
      <c r="AM38" s="227"/>
      <c r="AN38" s="254"/>
      <c r="AO38" s="255"/>
      <c r="AP38" s="255"/>
      <c r="AQ38" s="255"/>
      <c r="AR38" s="255"/>
      <c r="AS38" s="255"/>
      <c r="AT38" s="258"/>
      <c r="AV38" s="190"/>
      <c r="AW38" s="167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89"/>
      <c r="BS38" s="88"/>
      <c r="BT38" s="89"/>
      <c r="BU38" s="90"/>
      <c r="BV38" s="91"/>
    </row>
    <row r="39" spans="2:77" ht="13.9" customHeight="1">
      <c r="B39" s="168">
        <v>25</v>
      </c>
      <c r="C39" s="834" t="e">
        <f>#REF!</f>
        <v>#REF!</v>
      </c>
      <c r="D39" s="602"/>
      <c r="E39" s="602"/>
      <c r="F39" s="602"/>
      <c r="G39" s="602"/>
      <c r="H39" s="602"/>
      <c r="I39" s="602"/>
      <c r="J39" s="603"/>
      <c r="K39" s="604" t="e">
        <f>#REF!</f>
        <v>#REF!</v>
      </c>
      <c r="L39" s="605"/>
      <c r="M39" s="605"/>
      <c r="N39" s="605"/>
      <c r="O39" s="605"/>
      <c r="P39" s="605"/>
      <c r="Q39" s="605"/>
      <c r="R39" s="772"/>
      <c r="S39" s="257"/>
      <c r="T39" s="226"/>
      <c r="U39" s="226"/>
      <c r="V39" s="226"/>
      <c r="W39" s="226"/>
      <c r="X39" s="226"/>
      <c r="Y39" s="226"/>
      <c r="Z39" s="227"/>
      <c r="AA39" s="254"/>
      <c r="AB39" s="255"/>
      <c r="AC39" s="255"/>
      <c r="AD39" s="255"/>
      <c r="AE39" s="255"/>
      <c r="AF39" s="255"/>
      <c r="AG39" s="256"/>
      <c r="AH39" s="257"/>
      <c r="AI39" s="226"/>
      <c r="AJ39" s="226"/>
      <c r="AK39" s="226"/>
      <c r="AL39" s="226"/>
      <c r="AM39" s="227"/>
      <c r="AN39" s="254"/>
      <c r="AO39" s="255"/>
      <c r="AP39" s="255"/>
      <c r="AQ39" s="255"/>
      <c r="AR39" s="255"/>
      <c r="AS39" s="255"/>
      <c r="AT39" s="258"/>
      <c r="AV39" s="190"/>
      <c r="AW39" s="167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89"/>
      <c r="BS39" s="88"/>
      <c r="BT39" s="89"/>
      <c r="BU39" s="90"/>
      <c r="BV39" s="91"/>
    </row>
    <row r="40" spans="2:77" ht="14.25" customHeight="1">
      <c r="B40" s="168">
        <v>26</v>
      </c>
      <c r="C40" s="834" t="e">
        <f>#REF!</f>
        <v>#REF!</v>
      </c>
      <c r="D40" s="602"/>
      <c r="E40" s="602"/>
      <c r="F40" s="602"/>
      <c r="G40" s="602"/>
      <c r="H40" s="602"/>
      <c r="I40" s="602"/>
      <c r="J40" s="603"/>
      <c r="K40" s="604" t="e">
        <f>#REF!</f>
        <v>#REF!</v>
      </c>
      <c r="L40" s="605"/>
      <c r="M40" s="605"/>
      <c r="N40" s="605"/>
      <c r="O40" s="605"/>
      <c r="P40" s="605"/>
      <c r="Q40" s="605"/>
      <c r="R40" s="772"/>
      <c r="S40" s="257"/>
      <c r="T40" s="226"/>
      <c r="U40" s="226"/>
      <c r="V40" s="226"/>
      <c r="W40" s="226"/>
      <c r="X40" s="226"/>
      <c r="Y40" s="226"/>
      <c r="Z40" s="227"/>
      <c r="AA40" s="254"/>
      <c r="AB40" s="255"/>
      <c r="AC40" s="255"/>
      <c r="AD40" s="255"/>
      <c r="AE40" s="255"/>
      <c r="AF40" s="255"/>
      <c r="AG40" s="256"/>
      <c r="AH40" s="257"/>
      <c r="AI40" s="226"/>
      <c r="AJ40" s="226"/>
      <c r="AK40" s="226"/>
      <c r="AL40" s="226"/>
      <c r="AM40" s="227"/>
      <c r="AN40" s="254"/>
      <c r="AO40" s="255"/>
      <c r="AP40" s="255"/>
      <c r="AQ40" s="255"/>
      <c r="AR40" s="255"/>
      <c r="AS40" s="255"/>
      <c r="AT40" s="258"/>
      <c r="AV40" s="190"/>
      <c r="AW40" s="167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89"/>
      <c r="BS40" s="88"/>
      <c r="BT40" s="89"/>
      <c r="BU40" s="90"/>
      <c r="BV40" s="91"/>
    </row>
    <row r="41" spans="2:77" ht="14.25" customHeight="1">
      <c r="B41" s="168"/>
      <c r="C41" s="267"/>
      <c r="D41" s="259"/>
      <c r="E41" s="259"/>
      <c r="F41" s="259"/>
      <c r="G41" s="259"/>
      <c r="H41" s="259"/>
      <c r="I41" s="259"/>
      <c r="J41" s="260"/>
      <c r="K41" s="254"/>
      <c r="L41" s="255"/>
      <c r="M41" s="255"/>
      <c r="N41" s="255"/>
      <c r="O41" s="255"/>
      <c r="P41" s="255"/>
      <c r="Q41" s="255"/>
      <c r="R41" s="256"/>
      <c r="S41" s="257"/>
      <c r="T41" s="226"/>
      <c r="U41" s="226"/>
      <c r="V41" s="226"/>
      <c r="W41" s="226"/>
      <c r="X41" s="226"/>
      <c r="Y41" s="226"/>
      <c r="Z41" s="227"/>
      <c r="AA41" s="254"/>
      <c r="AB41" s="255"/>
      <c r="AC41" s="255"/>
      <c r="AD41" s="255"/>
      <c r="AE41" s="255"/>
      <c r="AF41" s="255"/>
      <c r="AG41" s="256"/>
      <c r="AH41" s="257"/>
      <c r="AI41" s="226"/>
      <c r="AJ41" s="226"/>
      <c r="AK41" s="226"/>
      <c r="AL41" s="226"/>
      <c r="AM41" s="227"/>
      <c r="AN41" s="254"/>
      <c r="AO41" s="255"/>
      <c r="AP41" s="255"/>
      <c r="AQ41" s="255"/>
      <c r="AR41" s="255"/>
      <c r="AS41" s="255"/>
      <c r="AT41" s="258"/>
      <c r="AV41" s="190"/>
      <c r="AW41" s="167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89"/>
      <c r="BS41" s="88"/>
      <c r="BT41" s="89"/>
      <c r="BU41" s="90"/>
      <c r="BV41" s="91"/>
    </row>
    <row r="42" spans="2:77" ht="14.25" customHeight="1">
      <c r="B42" s="168">
        <v>30</v>
      </c>
      <c r="C42" s="831" t="s">
        <v>237</v>
      </c>
      <c r="D42" s="832"/>
      <c r="E42" s="832"/>
      <c r="F42" s="832"/>
      <c r="G42" s="832"/>
      <c r="H42" s="832"/>
      <c r="I42" s="832"/>
      <c r="J42" s="833"/>
      <c r="K42" s="254"/>
      <c r="L42" s="255"/>
      <c r="M42" s="255"/>
      <c r="N42" s="255"/>
      <c r="O42" s="255"/>
      <c r="P42" s="255"/>
      <c r="Q42" s="255"/>
      <c r="R42" s="256"/>
      <c r="S42" s="257"/>
      <c r="T42" s="226"/>
      <c r="U42" s="226"/>
      <c r="V42" s="226"/>
      <c r="W42" s="226"/>
      <c r="X42" s="226"/>
      <c r="Y42" s="226"/>
      <c r="Z42" s="227"/>
      <c r="AA42" s="254"/>
      <c r="AB42" s="255"/>
      <c r="AC42" s="255"/>
      <c r="AD42" s="255"/>
      <c r="AE42" s="255"/>
      <c r="AF42" s="255"/>
      <c r="AG42" s="256"/>
      <c r="AH42" s="257"/>
      <c r="AI42" s="226"/>
      <c r="AJ42" s="226"/>
      <c r="AK42" s="226"/>
      <c r="AL42" s="226"/>
      <c r="AM42" s="227"/>
      <c r="AN42" s="254"/>
      <c r="AO42" s="255"/>
      <c r="AP42" s="255"/>
      <c r="AQ42" s="255"/>
      <c r="AR42" s="255"/>
      <c r="AS42" s="255"/>
      <c r="AT42" s="258"/>
      <c r="AV42" s="190"/>
      <c r="AW42" s="167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89"/>
      <c r="BS42" s="88"/>
      <c r="BT42" s="89"/>
      <c r="BU42" s="90"/>
      <c r="BV42" s="91"/>
    </row>
    <row r="43" spans="2:77" ht="14.25" customHeight="1">
      <c r="B43" s="168">
        <v>31</v>
      </c>
      <c r="C43" s="664" t="s">
        <v>149</v>
      </c>
      <c r="D43" s="665"/>
      <c r="E43" s="665"/>
      <c r="F43" s="665"/>
      <c r="G43" s="665"/>
      <c r="H43" s="665"/>
      <c r="I43" s="665"/>
      <c r="J43" s="666"/>
      <c r="K43" s="604"/>
      <c r="L43" s="605"/>
      <c r="M43" s="605"/>
      <c r="N43" s="605"/>
      <c r="O43" s="605"/>
      <c r="P43" s="605"/>
      <c r="Q43" s="605"/>
      <c r="R43" s="772"/>
      <c r="S43" s="773"/>
      <c r="T43" s="665"/>
      <c r="U43" s="665"/>
      <c r="V43" s="665"/>
      <c r="W43" s="665"/>
      <c r="X43" s="665"/>
      <c r="Y43" s="665"/>
      <c r="Z43" s="666"/>
      <c r="AA43" s="604"/>
      <c r="AB43" s="605"/>
      <c r="AC43" s="605"/>
      <c r="AD43" s="605"/>
      <c r="AE43" s="605"/>
      <c r="AF43" s="605"/>
      <c r="AG43" s="772"/>
      <c r="AH43" s="774"/>
      <c r="AI43" s="775"/>
      <c r="AJ43" s="775"/>
      <c r="AK43" s="775"/>
      <c r="AL43" s="775"/>
      <c r="AM43" s="776"/>
      <c r="AN43" s="604"/>
      <c r="AO43" s="605"/>
      <c r="AP43" s="605"/>
      <c r="AQ43" s="605"/>
      <c r="AR43" s="605"/>
      <c r="AS43" s="605"/>
      <c r="AT43" s="667"/>
      <c r="AV43" s="190"/>
      <c r="AW43" s="167" t="s">
        <v>206</v>
      </c>
      <c r="AX43" s="165" t="s">
        <v>148</v>
      </c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89"/>
      <c r="BS43" s="88">
        <v>1000000001</v>
      </c>
      <c r="BT43" s="89">
        <v>5000000000</v>
      </c>
      <c r="BU43" s="90" t="e">
        <f t="shared" si="0"/>
        <v>#REF!</v>
      </c>
      <c r="BV43" s="91">
        <v>320000</v>
      </c>
      <c r="BX43" s="87" t="e">
        <f t="shared" si="2"/>
        <v>#REF!</v>
      </c>
      <c r="BY43" s="87" t="e">
        <f t="shared" si="1"/>
        <v>#REF!</v>
      </c>
    </row>
    <row r="44" spans="2:77" ht="14.25" customHeight="1" thickBot="1">
      <c r="B44" s="166" t="s">
        <v>205</v>
      </c>
      <c r="C44" s="226"/>
      <c r="D44" s="226"/>
      <c r="E44" s="226"/>
      <c r="F44" s="226"/>
      <c r="G44" s="226"/>
      <c r="H44" s="226"/>
      <c r="I44" s="226"/>
      <c r="J44" s="226"/>
      <c r="K44" s="741" t="e">
        <f>SUM(K15:K43)</f>
        <v>#REF!</v>
      </c>
      <c r="L44" s="711"/>
      <c r="M44" s="711"/>
      <c r="N44" s="711"/>
      <c r="O44" s="711"/>
      <c r="P44" s="711"/>
      <c r="Q44" s="711"/>
      <c r="R44" s="777"/>
      <c r="S44" s="226" t="s">
        <v>204</v>
      </c>
      <c r="T44" s="226"/>
      <c r="U44" s="226"/>
      <c r="V44" s="226"/>
      <c r="W44" s="226"/>
      <c r="X44" s="226"/>
      <c r="Y44" s="226"/>
      <c r="Z44" s="226"/>
      <c r="AA44" s="778">
        <f>SUM(AA15:AA43)</f>
        <v>0</v>
      </c>
      <c r="AB44" s="779"/>
      <c r="AC44" s="779"/>
      <c r="AD44" s="779"/>
      <c r="AE44" s="779"/>
      <c r="AF44" s="779"/>
      <c r="AG44" s="780"/>
      <c r="AH44" s="781" t="s">
        <v>147</v>
      </c>
      <c r="AI44" s="782"/>
      <c r="AJ44" s="782"/>
      <c r="AK44" s="782"/>
      <c r="AL44" s="782"/>
      <c r="AM44" s="783"/>
      <c r="AN44" s="778">
        <f>SUM(AN15:AN43)</f>
        <v>0</v>
      </c>
      <c r="AO44" s="779"/>
      <c r="AP44" s="779"/>
      <c r="AQ44" s="779"/>
      <c r="AR44" s="779"/>
      <c r="AS44" s="779"/>
      <c r="AT44" s="784"/>
      <c r="AV44" s="190"/>
      <c r="AW44" s="165"/>
      <c r="AX44" s="165" t="s">
        <v>146</v>
      </c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89"/>
      <c r="BS44" s="88">
        <v>5000000001</v>
      </c>
      <c r="BT44" s="92">
        <v>9.9999999999999903E+37</v>
      </c>
      <c r="BU44" s="90" t="e">
        <f t="shared" si="0"/>
        <v>#REF!</v>
      </c>
      <c r="BV44" s="91">
        <v>480000</v>
      </c>
      <c r="BX44" s="87" t="e">
        <f t="shared" si="2"/>
        <v>#REF!</v>
      </c>
      <c r="BY44" s="87" t="e">
        <f t="shared" si="1"/>
        <v>#REF!</v>
      </c>
    </row>
    <row r="45" spans="2:77" ht="14.25" customHeight="1" thickBot="1">
      <c r="B45" s="164"/>
      <c r="C45" s="162" t="s">
        <v>145</v>
      </c>
      <c r="D45" s="162"/>
      <c r="E45" s="162"/>
      <c r="F45" s="162"/>
      <c r="G45" s="162"/>
      <c r="H45" s="162"/>
      <c r="I45" s="162"/>
      <c r="J45" s="162"/>
      <c r="K45" s="162" t="s">
        <v>203</v>
      </c>
      <c r="L45" s="163"/>
      <c r="M45" s="163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1" t="s">
        <v>144</v>
      </c>
      <c r="AB45" s="230"/>
      <c r="AC45" s="230"/>
      <c r="AD45" s="159"/>
      <c r="AE45" s="160" t="e">
        <f>AK45/I5*100</f>
        <v>#REF!</v>
      </c>
      <c r="AF45" s="159"/>
      <c r="AG45" s="159"/>
      <c r="AH45" s="159"/>
      <c r="AI45" s="230" t="s">
        <v>96</v>
      </c>
      <c r="AJ45" s="158"/>
      <c r="AK45" s="762" t="e">
        <f>ROUNDUP(K44+AA44+AN44,-3)</f>
        <v>#REF!</v>
      </c>
      <c r="AL45" s="706"/>
      <c r="AM45" s="706"/>
      <c r="AN45" s="706"/>
      <c r="AO45" s="706"/>
      <c r="AP45" s="706"/>
      <c r="AQ45" s="706"/>
      <c r="AR45" s="706"/>
      <c r="AS45" s="706"/>
      <c r="AT45" s="763"/>
      <c r="AV45" s="188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7"/>
      <c r="BO45" s="187"/>
      <c r="BP45" s="187"/>
      <c r="BQ45" s="186"/>
    </row>
    <row r="46" spans="2:77" ht="11.25" customHeight="1" thickBot="1">
      <c r="AT46" s="157"/>
    </row>
    <row r="47" spans="2:77" ht="14.25" customHeight="1" thickTop="1" thickBot="1">
      <c r="B47" s="133" t="s">
        <v>143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2"/>
      <c r="M47" s="132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0"/>
      <c r="AV47" s="245"/>
      <c r="AW47" s="244"/>
      <c r="AX47" s="243"/>
      <c r="AY47" s="244"/>
      <c r="AZ47" s="244"/>
      <c r="BA47" s="244"/>
      <c r="BB47" s="244"/>
      <c r="BC47" s="244"/>
      <c r="BD47" s="244"/>
      <c r="BE47" s="244"/>
      <c r="BF47" s="244"/>
      <c r="BG47" s="244"/>
      <c r="BH47" s="244"/>
      <c r="BI47" s="244"/>
      <c r="BJ47" s="244"/>
      <c r="BK47" s="244"/>
      <c r="BL47" s="244"/>
      <c r="BM47" s="243"/>
      <c r="BN47" s="243"/>
      <c r="BO47" s="243"/>
      <c r="BP47" s="243"/>
      <c r="BQ47" s="242"/>
      <c r="BR47" s="93" t="s">
        <v>202</v>
      </c>
      <c r="BS47" s="93"/>
    </row>
    <row r="48" spans="2:77" ht="14.25" customHeight="1" thickTop="1">
      <c r="B48" s="156" t="s">
        <v>142</v>
      </c>
      <c r="C48" s="764" t="s">
        <v>141</v>
      </c>
      <c r="D48" s="765"/>
      <c r="E48" s="765"/>
      <c r="F48" s="765"/>
      <c r="G48" s="765"/>
      <c r="H48" s="765"/>
      <c r="I48" s="765"/>
      <c r="J48" s="765"/>
      <c r="K48" s="765"/>
      <c r="L48" s="765"/>
      <c r="M48" s="765"/>
      <c r="N48" s="766"/>
      <c r="O48" s="103"/>
      <c r="P48" s="765" t="s">
        <v>140</v>
      </c>
      <c r="Q48" s="765"/>
      <c r="R48" s="765"/>
      <c r="S48" s="765"/>
      <c r="T48" s="765"/>
      <c r="U48" s="765"/>
      <c r="V48" s="765"/>
      <c r="W48" s="765"/>
      <c r="X48" s="765"/>
      <c r="AA48" s="764" t="s">
        <v>201</v>
      </c>
      <c r="AB48" s="765"/>
      <c r="AC48" s="765"/>
      <c r="AD48" s="765"/>
      <c r="AE48" s="765"/>
      <c r="AF48" s="765"/>
      <c r="AG48" s="765"/>
      <c r="AH48" s="765"/>
      <c r="AI48" s="765"/>
      <c r="AJ48" s="765"/>
      <c r="AK48" s="765"/>
      <c r="AL48" s="765"/>
      <c r="AM48" s="766"/>
      <c r="AN48" s="103"/>
      <c r="AO48" s="103"/>
      <c r="AP48" s="103" t="s">
        <v>139</v>
      </c>
      <c r="AQ48" s="103"/>
      <c r="AR48" s="103"/>
      <c r="AS48" s="103"/>
      <c r="AT48" s="155"/>
      <c r="AV48" s="239"/>
      <c r="AW48" s="170" t="s">
        <v>138</v>
      </c>
      <c r="BH48" s="170" t="s">
        <v>137</v>
      </c>
      <c r="BQ48" s="240"/>
      <c r="BS48" s="85" t="s">
        <v>79</v>
      </c>
    </row>
    <row r="49" spans="2:77" ht="14.25" customHeight="1">
      <c r="B49" s="151" t="s">
        <v>197</v>
      </c>
      <c r="C49" s="150" t="s">
        <v>13</v>
      </c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4"/>
      <c r="P49" s="153"/>
      <c r="Q49" s="153"/>
      <c r="R49" s="153"/>
      <c r="S49" s="153"/>
      <c r="T49" s="153"/>
      <c r="U49" s="153"/>
      <c r="V49" s="153"/>
      <c r="W49" s="153"/>
      <c r="X49" s="153"/>
      <c r="Y49" s="154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2" t="s">
        <v>136</v>
      </c>
      <c r="AN49" s="767" t="e">
        <f>ROUNDUP(SUM(AN50:AT56),-3)</f>
        <v>#REF!</v>
      </c>
      <c r="AO49" s="768"/>
      <c r="AP49" s="768"/>
      <c r="AQ49" s="768"/>
      <c r="AR49" s="768"/>
      <c r="AS49" s="768"/>
      <c r="AT49" s="769"/>
      <c r="AV49" s="239"/>
      <c r="AW49" s="204" t="s">
        <v>133</v>
      </c>
      <c r="AX49" s="87" t="s">
        <v>135</v>
      </c>
      <c r="BH49" s="770">
        <v>1.9729999999999999E-3</v>
      </c>
      <c r="BI49" s="770"/>
      <c r="BJ49" s="770"/>
      <c r="BK49" s="770"/>
      <c r="BQ49" s="240"/>
      <c r="BS49" s="88">
        <v>0</v>
      </c>
      <c r="BT49" s="89">
        <v>49999</v>
      </c>
      <c r="BU49" s="90" t="e">
        <f t="shared" ref="BU49:BU63" si="3">SUM(BX49:BY49)</f>
        <v>#REF!</v>
      </c>
      <c r="BV49" s="91">
        <v>0</v>
      </c>
      <c r="BX49" s="87" t="e">
        <f>IF(BS49&gt;=$I$5,1,0)</f>
        <v>#REF!</v>
      </c>
      <c r="BY49" s="87" t="e">
        <f>IF(BT49&gt;=$I$5,1,0)</f>
        <v>#REF!</v>
      </c>
    </row>
    <row r="50" spans="2:77" ht="14.25" customHeight="1">
      <c r="B50" s="129">
        <v>1</v>
      </c>
      <c r="C50" s="664" t="s">
        <v>200</v>
      </c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6"/>
      <c r="O50" s="771" t="str">
        <f>CONCATENATE("工事価格 * ",BH49*100,"%")</f>
        <v>工事価格 * 0.1973%</v>
      </c>
      <c r="P50" s="760"/>
      <c r="Q50" s="760"/>
      <c r="R50" s="760"/>
      <c r="S50" s="760"/>
      <c r="T50" s="760"/>
      <c r="U50" s="760"/>
      <c r="V50" s="760"/>
      <c r="W50" s="760"/>
      <c r="X50" s="760"/>
      <c r="Y50" s="760"/>
      <c r="Z50" s="761"/>
      <c r="AA50" s="738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40"/>
      <c r="AN50" s="741" t="e">
        <f>IF(AW49="●",I5*BH49,0)</f>
        <v>#REF!</v>
      </c>
      <c r="AO50" s="711"/>
      <c r="AP50" s="711"/>
      <c r="AQ50" s="711"/>
      <c r="AR50" s="711"/>
      <c r="AS50" s="711"/>
      <c r="AT50" s="713"/>
      <c r="AV50" s="239"/>
      <c r="AW50" s="241" t="s">
        <v>199</v>
      </c>
      <c r="BQ50" s="240"/>
      <c r="BS50" s="88">
        <v>50000</v>
      </c>
      <c r="BT50" s="89">
        <v>1000000</v>
      </c>
      <c r="BU50" s="90" t="e">
        <f t="shared" si="3"/>
        <v>#REF!</v>
      </c>
      <c r="BV50" s="91">
        <v>200</v>
      </c>
      <c r="BX50" s="87" t="e">
        <f>IF(BS50&gt;$I$5,1,0)</f>
        <v>#REF!</v>
      </c>
      <c r="BY50" s="87" t="e">
        <f t="shared" ref="BY50:BY63" si="4">IF(BT50&gt;=$I$5,1,0)</f>
        <v>#REF!</v>
      </c>
    </row>
    <row r="51" spans="2:77" ht="14.25" customHeight="1">
      <c r="B51" s="129">
        <v>2</v>
      </c>
      <c r="C51" s="664" t="s">
        <v>134</v>
      </c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6"/>
      <c r="O51" s="708" t="str">
        <f>CONCATENATE("請負金 * ",BH51*100,"%")</f>
        <v>請負金 * 0.2095%</v>
      </c>
      <c r="P51" s="709"/>
      <c r="Q51" s="709"/>
      <c r="R51" s="709"/>
      <c r="S51" s="709"/>
      <c r="T51" s="709"/>
      <c r="U51" s="709"/>
      <c r="V51" s="709"/>
      <c r="W51" s="709"/>
      <c r="X51" s="709"/>
      <c r="Y51" s="709"/>
      <c r="Z51" s="737"/>
      <c r="AA51" s="738"/>
      <c r="AB51" s="739"/>
      <c r="AC51" s="739"/>
      <c r="AD51" s="739"/>
      <c r="AE51" s="739"/>
      <c r="AF51" s="739"/>
      <c r="AG51" s="739"/>
      <c r="AH51" s="739"/>
      <c r="AI51" s="739"/>
      <c r="AJ51" s="739"/>
      <c r="AK51" s="739"/>
      <c r="AL51" s="739"/>
      <c r="AM51" s="740"/>
      <c r="AN51" s="741" t="e">
        <f>IF(AW51="●",AK8*BH51,0)</f>
        <v>#REF!</v>
      </c>
      <c r="AO51" s="711"/>
      <c r="AP51" s="711"/>
      <c r="AQ51" s="711"/>
      <c r="AR51" s="711"/>
      <c r="AS51" s="711"/>
      <c r="AT51" s="713"/>
      <c r="AV51" s="239"/>
      <c r="AW51" s="204" t="s">
        <v>133</v>
      </c>
      <c r="AX51" s="87" t="s">
        <v>198</v>
      </c>
      <c r="BH51" s="757">
        <v>2.0950000000000001E-3</v>
      </c>
      <c r="BI51" s="757"/>
      <c r="BJ51" s="757"/>
      <c r="BK51" s="757"/>
      <c r="BQ51" s="240"/>
      <c r="BS51" s="88">
        <v>1000001</v>
      </c>
      <c r="BT51" s="89">
        <v>2000000</v>
      </c>
      <c r="BU51" s="90" t="e">
        <f t="shared" si="3"/>
        <v>#REF!</v>
      </c>
      <c r="BV51" s="91">
        <v>400</v>
      </c>
      <c r="BX51" s="87" t="e">
        <f t="shared" ref="BX51:BX63" si="5">IF(BS51&gt;=$I$5,1,0)</f>
        <v>#REF!</v>
      </c>
      <c r="BY51" s="87" t="e">
        <f t="shared" si="4"/>
        <v>#REF!</v>
      </c>
    </row>
    <row r="52" spans="2:77" ht="14.25" customHeight="1">
      <c r="B52" s="129">
        <v>3</v>
      </c>
      <c r="C52" s="664" t="s">
        <v>132</v>
      </c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6"/>
      <c r="O52" s="708"/>
      <c r="P52" s="709"/>
      <c r="Q52" s="709"/>
      <c r="R52" s="709"/>
      <c r="S52" s="709"/>
      <c r="T52" s="709"/>
      <c r="U52" s="709"/>
      <c r="V52" s="709"/>
      <c r="W52" s="709"/>
      <c r="X52" s="709"/>
      <c r="Y52" s="709"/>
      <c r="Z52" s="737"/>
      <c r="AA52" s="754" t="s">
        <v>130</v>
      </c>
      <c r="AB52" s="755"/>
      <c r="AC52" s="755"/>
      <c r="AD52" s="755"/>
      <c r="AE52" s="755"/>
      <c r="AF52" s="755"/>
      <c r="AG52" s="755"/>
      <c r="AH52" s="755"/>
      <c r="AI52" s="755"/>
      <c r="AJ52" s="755"/>
      <c r="AK52" s="755"/>
      <c r="AL52" s="755"/>
      <c r="AM52" s="756"/>
      <c r="AN52" s="741" t="e">
        <f>VLOOKUP(1,BU15:BV44,2,0)</f>
        <v>#N/A</v>
      </c>
      <c r="AO52" s="711"/>
      <c r="AP52" s="711"/>
      <c r="AQ52" s="711"/>
      <c r="AR52" s="711"/>
      <c r="AS52" s="711"/>
      <c r="AT52" s="713"/>
      <c r="AV52" s="239"/>
      <c r="AW52" s="198" t="s">
        <v>129</v>
      </c>
      <c r="AX52" s="87" t="s">
        <v>222</v>
      </c>
      <c r="BH52" s="757">
        <v>1.1E-4</v>
      </c>
      <c r="BI52" s="757"/>
      <c r="BJ52" s="757"/>
      <c r="BK52" s="757"/>
      <c r="BL52" s="249" t="str">
        <f>IF(AW52="●",1,"0")</f>
        <v>0</v>
      </c>
      <c r="BQ52" s="240"/>
      <c r="BS52" s="88">
        <v>2000001</v>
      </c>
      <c r="BT52" s="89">
        <v>3000000</v>
      </c>
      <c r="BU52" s="90" t="e">
        <f t="shared" si="3"/>
        <v>#REF!</v>
      </c>
      <c r="BV52" s="91">
        <v>600</v>
      </c>
      <c r="BX52" s="87" t="e">
        <f t="shared" si="5"/>
        <v>#REF!</v>
      </c>
      <c r="BY52" s="87" t="e">
        <f t="shared" si="4"/>
        <v>#REF!</v>
      </c>
    </row>
    <row r="53" spans="2:77" ht="14.25" customHeight="1">
      <c r="B53" s="129">
        <v>4</v>
      </c>
      <c r="C53" s="664" t="s">
        <v>131</v>
      </c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6"/>
      <c r="O53" s="708"/>
      <c r="P53" s="709"/>
      <c r="Q53" s="709"/>
      <c r="R53" s="709"/>
      <c r="S53" s="709"/>
      <c r="T53" s="709"/>
      <c r="U53" s="709"/>
      <c r="V53" s="709"/>
      <c r="W53" s="709"/>
      <c r="X53" s="709"/>
      <c r="Y53" s="709"/>
      <c r="Z53" s="737"/>
      <c r="AA53" s="754" t="s">
        <v>130</v>
      </c>
      <c r="AB53" s="755"/>
      <c r="AC53" s="755"/>
      <c r="AD53" s="755"/>
      <c r="AE53" s="755"/>
      <c r="AF53" s="755"/>
      <c r="AG53" s="755"/>
      <c r="AH53" s="755"/>
      <c r="AI53" s="755"/>
      <c r="AJ53" s="755"/>
      <c r="AK53" s="755"/>
      <c r="AL53" s="755"/>
      <c r="AM53" s="756"/>
      <c r="AN53" s="741" t="e">
        <f>VLOOKUP(1,BU49:BV63,2,0)</f>
        <v>#N/A</v>
      </c>
      <c r="AO53" s="711"/>
      <c r="AP53" s="711"/>
      <c r="AQ53" s="711"/>
      <c r="AR53" s="711"/>
      <c r="AS53" s="711"/>
      <c r="AT53" s="713"/>
      <c r="AV53" s="239"/>
      <c r="AW53" s="204" t="s">
        <v>129</v>
      </c>
      <c r="AX53" s="87" t="s">
        <v>223</v>
      </c>
      <c r="BH53" s="757">
        <v>1.8053E-2</v>
      </c>
      <c r="BI53" s="757"/>
      <c r="BJ53" s="757"/>
      <c r="BK53" s="757"/>
      <c r="BL53" s="249" t="str">
        <f>IF(AW53="●",2,"0")</f>
        <v>0</v>
      </c>
      <c r="BQ53" s="240"/>
      <c r="BS53" s="88">
        <v>3000001</v>
      </c>
      <c r="BT53" s="89">
        <v>5000000</v>
      </c>
      <c r="BU53" s="90" t="e">
        <f t="shared" si="3"/>
        <v>#REF!</v>
      </c>
      <c r="BV53" s="91">
        <v>1000</v>
      </c>
      <c r="BX53" s="87" t="e">
        <f t="shared" si="5"/>
        <v>#REF!</v>
      </c>
      <c r="BY53" s="87" t="e">
        <f t="shared" si="4"/>
        <v>#REF!</v>
      </c>
    </row>
    <row r="54" spans="2:77" ht="14.25" customHeight="1">
      <c r="B54" s="129">
        <v>5</v>
      </c>
      <c r="C54" s="664" t="s">
        <v>128</v>
      </c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6"/>
      <c r="O54" s="758" t="s">
        <v>221</v>
      </c>
      <c r="P54" s="759"/>
      <c r="Q54" s="759"/>
      <c r="R54" s="760" t="str">
        <f>IF(BL52+BL53&gt;=2,"解体賠償：1.8053%","生産物：0.0110%")</f>
        <v>生産物：0.0110%</v>
      </c>
      <c r="S54" s="760"/>
      <c r="T54" s="760"/>
      <c r="U54" s="760"/>
      <c r="V54" s="760"/>
      <c r="W54" s="760"/>
      <c r="X54" s="760"/>
      <c r="Y54" s="760"/>
      <c r="Z54" s="761"/>
      <c r="AA54" s="754" t="s">
        <v>127</v>
      </c>
      <c r="AB54" s="755"/>
      <c r="AC54" s="755"/>
      <c r="AD54" s="755"/>
      <c r="AE54" s="755"/>
      <c r="AF54" s="755"/>
      <c r="AG54" s="755"/>
      <c r="AH54" s="755"/>
      <c r="AI54" s="755"/>
      <c r="AJ54" s="755"/>
      <c r="AK54" s="755"/>
      <c r="AL54" s="755"/>
      <c r="AM54" s="756"/>
      <c r="AN54" s="741">
        <f>IF(AW52="●",AK8*BH52,0)+IF(AW53="●",AK8*BH53,0)</f>
        <v>0</v>
      </c>
      <c r="AO54" s="711"/>
      <c r="AP54" s="711"/>
      <c r="AQ54" s="711"/>
      <c r="AR54" s="711"/>
      <c r="AS54" s="711"/>
      <c r="AT54" s="713"/>
      <c r="AV54" s="239"/>
      <c r="AW54" s="205" t="s">
        <v>126</v>
      </c>
      <c r="BO54" s="170"/>
      <c r="BP54" s="170"/>
      <c r="BQ54" s="238"/>
      <c r="BS54" s="88">
        <v>5000001</v>
      </c>
      <c r="BT54" s="89">
        <v>10000000</v>
      </c>
      <c r="BU54" s="90" t="e">
        <f t="shared" si="3"/>
        <v>#REF!</v>
      </c>
      <c r="BV54" s="91">
        <v>2000</v>
      </c>
      <c r="BX54" s="87" t="e">
        <f t="shared" si="5"/>
        <v>#REF!</v>
      </c>
      <c r="BY54" s="87" t="e">
        <f t="shared" si="4"/>
        <v>#REF!</v>
      </c>
    </row>
    <row r="55" spans="2:77" ht="14.25" customHeight="1" thickBot="1">
      <c r="B55" s="129">
        <v>6</v>
      </c>
      <c r="C55" s="664" t="s">
        <v>225</v>
      </c>
      <c r="D55" s="665"/>
      <c r="E55" s="665"/>
      <c r="F55" s="665"/>
      <c r="G55" s="665"/>
      <c r="H55" s="665"/>
      <c r="I55" s="665"/>
      <c r="J55" s="665"/>
      <c r="K55" s="665"/>
      <c r="L55" s="665"/>
      <c r="M55" s="665"/>
      <c r="N55" s="666"/>
      <c r="O55" s="708" t="s">
        <v>219</v>
      </c>
      <c r="P55" s="709"/>
      <c r="Q55" s="709"/>
      <c r="R55" s="709"/>
      <c r="S55" s="709"/>
      <c r="T55" s="709"/>
      <c r="U55" s="709"/>
      <c r="V55" s="709"/>
      <c r="W55" s="709"/>
      <c r="X55" s="709"/>
      <c r="Y55" s="709"/>
      <c r="Z55" s="737"/>
      <c r="AA55" s="738"/>
      <c r="AB55" s="739"/>
      <c r="AC55" s="739"/>
      <c r="AD55" s="739"/>
      <c r="AE55" s="739"/>
      <c r="AF55" s="739"/>
      <c r="AG55" s="739"/>
      <c r="AH55" s="739"/>
      <c r="AI55" s="739"/>
      <c r="AJ55" s="739"/>
      <c r="AK55" s="739"/>
      <c r="AL55" s="739"/>
      <c r="AM55" s="740"/>
      <c r="AN55" s="741" t="e">
        <f>SUM(#REF!)</f>
        <v>#REF!</v>
      </c>
      <c r="AO55" s="711"/>
      <c r="AP55" s="711"/>
      <c r="AQ55" s="711"/>
      <c r="AR55" s="711"/>
      <c r="AS55" s="711"/>
      <c r="AT55" s="713"/>
      <c r="AV55" s="237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5"/>
      <c r="BP55" s="235"/>
      <c r="BQ55" s="234"/>
      <c r="BS55" s="88">
        <v>10000001</v>
      </c>
      <c r="BT55" s="89">
        <v>20000000</v>
      </c>
      <c r="BU55" s="90" t="e">
        <f t="shared" si="3"/>
        <v>#REF!</v>
      </c>
      <c r="BV55" s="91">
        <v>4000</v>
      </c>
      <c r="BX55" s="87" t="e">
        <f t="shared" si="5"/>
        <v>#REF!</v>
      </c>
      <c r="BY55" s="87" t="e">
        <f t="shared" si="4"/>
        <v>#REF!</v>
      </c>
    </row>
    <row r="56" spans="2:77" ht="14.25" customHeight="1" thickTop="1">
      <c r="B56" s="129">
        <v>7</v>
      </c>
      <c r="C56" s="664" t="s">
        <v>224</v>
      </c>
      <c r="D56" s="665"/>
      <c r="E56" s="665"/>
      <c r="F56" s="665"/>
      <c r="G56" s="665"/>
      <c r="H56" s="665"/>
      <c r="I56" s="665"/>
      <c r="J56" s="665"/>
      <c r="K56" s="665"/>
      <c r="L56" s="665"/>
      <c r="M56" s="665"/>
      <c r="N56" s="666"/>
      <c r="O56" s="742"/>
      <c r="P56" s="743"/>
      <c r="Q56" s="743"/>
      <c r="R56" s="743"/>
      <c r="S56" s="743"/>
      <c r="T56" s="743"/>
      <c r="U56" s="743"/>
      <c r="V56" s="743"/>
      <c r="W56" s="743"/>
      <c r="X56" s="743"/>
      <c r="Y56" s="743"/>
      <c r="Z56" s="744"/>
      <c r="AA56" s="745"/>
      <c r="AB56" s="746"/>
      <c r="AC56" s="746"/>
      <c r="AD56" s="746"/>
      <c r="AE56" s="746"/>
      <c r="AF56" s="746"/>
      <c r="AG56" s="746"/>
      <c r="AH56" s="746"/>
      <c r="AI56" s="746"/>
      <c r="AJ56" s="746"/>
      <c r="AK56" s="746"/>
      <c r="AL56" s="746"/>
      <c r="AM56" s="747"/>
      <c r="AN56" s="748" t="e">
        <f>#REF!</f>
        <v>#REF!</v>
      </c>
      <c r="AO56" s="749"/>
      <c r="AP56" s="749"/>
      <c r="AQ56" s="749"/>
      <c r="AR56" s="749"/>
      <c r="AS56" s="749"/>
      <c r="AT56" s="750"/>
      <c r="AV56" s="128" t="s">
        <v>218</v>
      </c>
      <c r="AW56" s="128"/>
      <c r="AX56" s="205"/>
      <c r="BS56" s="88">
        <v>20000001</v>
      </c>
      <c r="BT56" s="89">
        <v>30000000</v>
      </c>
      <c r="BU56" s="90" t="e">
        <f t="shared" si="3"/>
        <v>#REF!</v>
      </c>
      <c r="BV56" s="91">
        <v>6000</v>
      </c>
      <c r="BX56" s="87" t="e">
        <f t="shared" si="5"/>
        <v>#REF!</v>
      </c>
      <c r="BY56" s="87" t="e">
        <f t="shared" si="4"/>
        <v>#REF!</v>
      </c>
    </row>
    <row r="57" spans="2:77" ht="14.25" customHeight="1" thickBot="1">
      <c r="B57" s="151" t="s">
        <v>197</v>
      </c>
      <c r="C57" s="150" t="s">
        <v>125</v>
      </c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8"/>
      <c r="T57" s="148"/>
      <c r="U57" s="146" t="s">
        <v>124</v>
      </c>
      <c r="V57" s="751" t="e">
        <f>ROUNDUP(SUM(V58:AB61),-3)</f>
        <v>#REF!</v>
      </c>
      <c r="W57" s="752"/>
      <c r="X57" s="752"/>
      <c r="Y57" s="752"/>
      <c r="Z57" s="752"/>
      <c r="AA57" s="752"/>
      <c r="AB57" s="753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6" t="s">
        <v>123</v>
      </c>
      <c r="AN57" s="751" t="e">
        <f>ROUNDUP(SUM(AN58:AT61),-3)</f>
        <v>#REF!</v>
      </c>
      <c r="AO57" s="752"/>
      <c r="AP57" s="752"/>
      <c r="AQ57" s="752"/>
      <c r="AR57" s="752"/>
      <c r="AS57" s="752"/>
      <c r="AT57" s="753"/>
      <c r="BN57" s="715"/>
      <c r="BO57" s="715"/>
      <c r="BP57" s="715"/>
      <c r="BQ57" s="715"/>
      <c r="BS57" s="88">
        <v>30000001</v>
      </c>
      <c r="BT57" s="89">
        <v>50000000</v>
      </c>
      <c r="BU57" s="90" t="e">
        <f t="shared" si="3"/>
        <v>#REF!</v>
      </c>
      <c r="BV57" s="91">
        <v>10000</v>
      </c>
      <c r="BX57" s="87" t="e">
        <f t="shared" si="5"/>
        <v>#REF!</v>
      </c>
      <c r="BY57" s="87" t="e">
        <f t="shared" si="4"/>
        <v>#REF!</v>
      </c>
    </row>
    <row r="58" spans="2:77" ht="14.25" customHeight="1" thickTop="1" thickBot="1">
      <c r="B58" s="206">
        <v>1</v>
      </c>
      <c r="C58" s="716" t="s">
        <v>122</v>
      </c>
      <c r="D58" s="717"/>
      <c r="E58" s="717"/>
      <c r="F58" s="717"/>
      <c r="G58" s="717"/>
      <c r="H58" s="717"/>
      <c r="I58" s="717"/>
      <c r="J58" s="718"/>
      <c r="K58" s="719" t="str">
        <f>CONCATENATE("工事価格 * ",FIXED(BG5*100,1),"% (自動計算)")</f>
        <v>工事価格 * 3.5% (自動計算)</v>
      </c>
      <c r="L58" s="720"/>
      <c r="M58" s="720"/>
      <c r="N58" s="720"/>
      <c r="O58" s="720"/>
      <c r="P58" s="720"/>
      <c r="Q58" s="720"/>
      <c r="R58" s="720"/>
      <c r="S58" s="720"/>
      <c r="T58" s="720"/>
      <c r="U58" s="721"/>
      <c r="V58" s="722" t="e">
        <f>I5*BG5</f>
        <v>#REF!</v>
      </c>
      <c r="W58" s="722"/>
      <c r="X58" s="722"/>
      <c r="Y58" s="722"/>
      <c r="Z58" s="722"/>
      <c r="AA58" s="722"/>
      <c r="AB58" s="723"/>
      <c r="AC58" s="719" t="s">
        <v>121</v>
      </c>
      <c r="AD58" s="720"/>
      <c r="AE58" s="720"/>
      <c r="AF58" s="720"/>
      <c r="AG58" s="720"/>
      <c r="AH58" s="720"/>
      <c r="AI58" s="720"/>
      <c r="AJ58" s="720"/>
      <c r="AK58" s="720"/>
      <c r="AL58" s="720"/>
      <c r="AM58" s="721"/>
      <c r="AN58" s="724" t="e">
        <f>V58</f>
        <v>#REF!</v>
      </c>
      <c r="AO58" s="724"/>
      <c r="AP58" s="724"/>
      <c r="AQ58" s="724"/>
      <c r="AR58" s="724"/>
      <c r="AS58" s="724"/>
      <c r="AT58" s="725"/>
      <c r="AW58" s="145" t="s">
        <v>59</v>
      </c>
      <c r="AX58" s="726" t="s">
        <v>120</v>
      </c>
      <c r="AY58" s="726"/>
      <c r="AZ58" s="726"/>
      <c r="BA58" s="726"/>
      <c r="BB58" s="726"/>
      <c r="BC58" s="726"/>
      <c r="BD58" s="726"/>
      <c r="BE58" s="726"/>
      <c r="BF58" s="726"/>
      <c r="BG58" s="726"/>
      <c r="BH58" s="726"/>
      <c r="BI58" s="726"/>
      <c r="BJ58" s="726"/>
      <c r="BK58" s="726"/>
      <c r="BL58" s="726"/>
      <c r="BM58" s="726"/>
      <c r="BN58" s="726"/>
      <c r="BO58" s="726"/>
      <c r="BP58" s="726"/>
      <c r="BQ58" s="727"/>
      <c r="BS58" s="88">
        <v>50000001</v>
      </c>
      <c r="BT58" s="89">
        <v>100000000</v>
      </c>
      <c r="BU58" s="90" t="e">
        <f t="shared" si="3"/>
        <v>#REF!</v>
      </c>
      <c r="BV58" s="91">
        <v>20000</v>
      </c>
      <c r="BX58" s="87" t="e">
        <f t="shared" si="5"/>
        <v>#REF!</v>
      </c>
      <c r="BY58" s="87" t="e">
        <f t="shared" si="4"/>
        <v>#REF!</v>
      </c>
    </row>
    <row r="59" spans="2:77" ht="14.25" customHeight="1" thickTop="1">
      <c r="B59" s="129">
        <v>2</v>
      </c>
      <c r="C59" s="728" t="s">
        <v>119</v>
      </c>
      <c r="D59" s="729"/>
      <c r="E59" s="729"/>
      <c r="F59" s="729"/>
      <c r="G59" s="729"/>
      <c r="H59" s="729"/>
      <c r="I59" s="729"/>
      <c r="J59" s="730"/>
      <c r="K59" s="731" t="str">
        <f>CONCATENATE("工事価格 * ",FIXED(BG6*100,1),"% (自動計算)")</f>
        <v>工事価格 * 0.0% (自動計算)</v>
      </c>
      <c r="L59" s="732"/>
      <c r="M59" s="732"/>
      <c r="N59" s="732"/>
      <c r="O59" s="732"/>
      <c r="P59" s="732"/>
      <c r="Q59" s="732"/>
      <c r="R59" s="732"/>
      <c r="S59" s="732"/>
      <c r="T59" s="732"/>
      <c r="U59" s="733"/>
      <c r="V59" s="662" t="e">
        <f>I5*BG6</f>
        <v>#REF!</v>
      </c>
      <c r="W59" s="734"/>
      <c r="X59" s="734"/>
      <c r="Y59" s="734"/>
      <c r="Z59" s="734"/>
      <c r="AA59" s="734"/>
      <c r="AB59" s="735"/>
      <c r="AC59" s="731" t="str">
        <f>CONCATENATE("工事価格 * ",FIXED(BG6*100,1),"% (自動計算)")</f>
        <v>工事価格 * 0.0% (自動計算)</v>
      </c>
      <c r="AD59" s="732"/>
      <c r="AE59" s="732"/>
      <c r="AF59" s="732"/>
      <c r="AG59" s="732"/>
      <c r="AH59" s="732"/>
      <c r="AI59" s="732"/>
      <c r="AJ59" s="732"/>
      <c r="AK59" s="732"/>
      <c r="AL59" s="732"/>
      <c r="AM59" s="733"/>
      <c r="AN59" s="662" t="e">
        <f>IF(AN58="","",I5*BG6)</f>
        <v>#REF!</v>
      </c>
      <c r="AO59" s="734"/>
      <c r="AP59" s="734"/>
      <c r="AQ59" s="734"/>
      <c r="AR59" s="734"/>
      <c r="AS59" s="734"/>
      <c r="AT59" s="736"/>
      <c r="AX59" s="170"/>
      <c r="BS59" s="88">
        <v>100000001</v>
      </c>
      <c r="BT59" s="89">
        <v>200000000</v>
      </c>
      <c r="BU59" s="90" t="e">
        <f t="shared" si="3"/>
        <v>#REF!</v>
      </c>
      <c r="BV59" s="91">
        <v>40000</v>
      </c>
      <c r="BX59" s="87" t="e">
        <f t="shared" si="5"/>
        <v>#REF!</v>
      </c>
      <c r="BY59" s="87" t="e">
        <f t="shared" si="4"/>
        <v>#REF!</v>
      </c>
    </row>
    <row r="60" spans="2:77" ht="14.25" customHeight="1">
      <c r="B60" s="129">
        <v>3</v>
      </c>
      <c r="C60" s="664" t="s">
        <v>236</v>
      </c>
      <c r="D60" s="665"/>
      <c r="E60" s="665"/>
      <c r="F60" s="665"/>
      <c r="G60" s="665"/>
      <c r="H60" s="665"/>
      <c r="I60" s="665"/>
      <c r="J60" s="666"/>
      <c r="K60" s="708" t="str">
        <f>CONCATENATE("工事価格 * ",FIXED(BG7*100,1),"% (自動計算)")</f>
        <v>工事価格 * 5.0% (自動計算)</v>
      </c>
      <c r="L60" s="709"/>
      <c r="M60" s="709"/>
      <c r="N60" s="709"/>
      <c r="O60" s="709"/>
      <c r="P60" s="709"/>
      <c r="Q60" s="709"/>
      <c r="R60" s="709"/>
      <c r="S60" s="709"/>
      <c r="T60" s="709"/>
      <c r="U60" s="710"/>
      <c r="V60" s="711" t="e">
        <f>I5*BG7</f>
        <v>#REF!</v>
      </c>
      <c r="W60" s="711"/>
      <c r="X60" s="711"/>
      <c r="Y60" s="711"/>
      <c r="Z60" s="711"/>
      <c r="AA60" s="711"/>
      <c r="AB60" s="712"/>
      <c r="AC60" s="708" t="str">
        <f>CONCATENATE("工事価格 * ",FIXED(BG7*100,1),"% (自動計算)")</f>
        <v>工事価格 * 5.0% (自動計算)</v>
      </c>
      <c r="AD60" s="709"/>
      <c r="AE60" s="709"/>
      <c r="AF60" s="709"/>
      <c r="AG60" s="709"/>
      <c r="AH60" s="709"/>
      <c r="AI60" s="709"/>
      <c r="AJ60" s="709"/>
      <c r="AK60" s="709"/>
      <c r="AL60" s="709"/>
      <c r="AM60" s="710"/>
      <c r="AN60" s="711" t="e">
        <f>IF(AN58="","",I5*BG7)</f>
        <v>#REF!</v>
      </c>
      <c r="AO60" s="711"/>
      <c r="AP60" s="711"/>
      <c r="AQ60" s="711"/>
      <c r="AR60" s="711"/>
      <c r="AS60" s="711"/>
      <c r="AT60" s="713"/>
      <c r="AX60" s="170"/>
      <c r="BS60" s="88">
        <v>200000001</v>
      </c>
      <c r="BT60" s="89">
        <v>300000000</v>
      </c>
      <c r="BU60" s="90" t="e">
        <f t="shared" si="3"/>
        <v>#REF!</v>
      </c>
      <c r="BV60" s="91">
        <v>60000</v>
      </c>
      <c r="BX60" s="87" t="e">
        <f t="shared" si="5"/>
        <v>#REF!</v>
      </c>
      <c r="BY60" s="87" t="e">
        <f t="shared" si="4"/>
        <v>#REF!</v>
      </c>
    </row>
    <row r="61" spans="2:77" ht="14.25" customHeight="1" thickBot="1">
      <c r="B61" s="129">
        <v>4</v>
      </c>
      <c r="C61" s="664" t="s">
        <v>118</v>
      </c>
      <c r="D61" s="665"/>
      <c r="E61" s="665"/>
      <c r="F61" s="665"/>
      <c r="G61" s="665"/>
      <c r="H61" s="665"/>
      <c r="I61" s="665"/>
      <c r="J61" s="666"/>
      <c r="K61" s="664"/>
      <c r="L61" s="665"/>
      <c r="M61" s="665"/>
      <c r="N61" s="665"/>
      <c r="O61" s="665"/>
      <c r="P61" s="665"/>
      <c r="Q61" s="665"/>
      <c r="R61" s="665"/>
      <c r="S61" s="665"/>
      <c r="T61" s="665"/>
      <c r="U61" s="714"/>
      <c r="V61" s="605">
        <v>0</v>
      </c>
      <c r="W61" s="605"/>
      <c r="X61" s="605"/>
      <c r="Y61" s="605"/>
      <c r="Z61" s="605"/>
      <c r="AA61" s="605"/>
      <c r="AB61" s="606"/>
      <c r="AC61" s="664"/>
      <c r="AD61" s="665"/>
      <c r="AE61" s="665"/>
      <c r="AF61" s="665"/>
      <c r="AG61" s="665"/>
      <c r="AH61" s="665"/>
      <c r="AI61" s="665"/>
      <c r="AJ61" s="665"/>
      <c r="AK61" s="665"/>
      <c r="AL61" s="665"/>
      <c r="AM61" s="714"/>
      <c r="AN61" s="605"/>
      <c r="AO61" s="605"/>
      <c r="AP61" s="605"/>
      <c r="AQ61" s="605"/>
      <c r="AR61" s="605"/>
      <c r="AS61" s="605"/>
      <c r="AT61" s="667"/>
      <c r="BS61" s="88">
        <v>300000001</v>
      </c>
      <c r="BT61" s="89">
        <v>500000000</v>
      </c>
      <c r="BU61" s="90" t="e">
        <f t="shared" si="3"/>
        <v>#REF!</v>
      </c>
      <c r="BV61" s="91">
        <v>100000</v>
      </c>
      <c r="BX61" s="87" t="e">
        <f t="shared" si="5"/>
        <v>#REF!</v>
      </c>
      <c r="BY61" s="87" t="e">
        <f t="shared" si="4"/>
        <v>#REF!</v>
      </c>
    </row>
    <row r="62" spans="2:77" ht="14.25" customHeight="1" thickTop="1" thickBot="1">
      <c r="B62" s="127"/>
      <c r="J62" s="108"/>
      <c r="K62" s="688" t="s">
        <v>117</v>
      </c>
      <c r="L62" s="689"/>
      <c r="M62" s="689"/>
      <c r="N62" s="689"/>
      <c r="O62" s="689"/>
      <c r="P62" s="689"/>
      <c r="Q62" s="689"/>
      <c r="R62" s="689"/>
      <c r="S62" s="689"/>
      <c r="T62" s="689"/>
      <c r="U62" s="689"/>
      <c r="V62" s="689"/>
      <c r="W62" s="689"/>
      <c r="X62" s="689"/>
      <c r="Y62" s="689"/>
      <c r="Z62" s="689"/>
      <c r="AA62" s="689"/>
      <c r="AB62" s="690"/>
      <c r="AC62" s="691"/>
      <c r="AD62" s="692"/>
      <c r="AE62" s="692"/>
      <c r="AF62" s="692"/>
      <c r="AG62" s="692"/>
      <c r="AH62" s="692"/>
      <c r="AI62" s="692"/>
      <c r="AJ62" s="692"/>
      <c r="AK62" s="692"/>
      <c r="AL62" s="692"/>
      <c r="AM62" s="692"/>
      <c r="AN62" s="692"/>
      <c r="AO62" s="692"/>
      <c r="AP62" s="692"/>
      <c r="AQ62" s="692"/>
      <c r="AR62" s="692"/>
      <c r="AS62" s="692"/>
      <c r="AT62" s="693"/>
      <c r="AX62" s="144" t="s">
        <v>116</v>
      </c>
      <c r="AY62" s="142"/>
      <c r="AZ62" s="142"/>
      <c r="BA62" s="142"/>
      <c r="BB62" s="142"/>
      <c r="BC62" s="142"/>
      <c r="BD62" s="142"/>
      <c r="BE62" s="142"/>
      <c r="BF62" s="142"/>
      <c r="BG62" s="143"/>
      <c r="BH62" s="142"/>
      <c r="BI62" s="142"/>
      <c r="BJ62" s="142"/>
      <c r="BK62" s="142"/>
      <c r="BL62" s="142"/>
      <c r="BM62" s="142"/>
      <c r="BN62" s="142"/>
      <c r="BO62" s="142"/>
      <c r="BP62" s="142"/>
      <c r="BQ62" s="141"/>
      <c r="BS62" s="88">
        <v>500000001</v>
      </c>
      <c r="BT62" s="89">
        <v>1000000000</v>
      </c>
      <c r="BU62" s="90" t="e">
        <f t="shared" si="3"/>
        <v>#REF!</v>
      </c>
      <c r="BV62" s="91">
        <v>150000</v>
      </c>
      <c r="BX62" s="87" t="e">
        <f t="shared" si="5"/>
        <v>#REF!</v>
      </c>
      <c r="BY62" s="87" t="e">
        <f t="shared" si="4"/>
        <v>#REF!</v>
      </c>
    </row>
    <row r="63" spans="2:77" ht="14.25" customHeight="1" thickBot="1">
      <c r="B63" s="140"/>
      <c r="C63" s="138" t="s">
        <v>196</v>
      </c>
      <c r="D63" s="138"/>
      <c r="E63" s="138"/>
      <c r="F63" s="138"/>
      <c r="G63" s="138"/>
      <c r="H63" s="138"/>
      <c r="I63" s="138"/>
      <c r="J63" s="138"/>
      <c r="K63" s="694" t="s">
        <v>115</v>
      </c>
      <c r="L63" s="695"/>
      <c r="M63" s="695"/>
      <c r="N63" s="695"/>
      <c r="O63" s="695"/>
      <c r="P63" s="695"/>
      <c r="Q63" s="695"/>
      <c r="R63" s="696" t="e">
        <f>V63/I5*100</f>
        <v>#REF!</v>
      </c>
      <c r="S63" s="696"/>
      <c r="T63" s="696"/>
      <c r="U63" s="230" t="s">
        <v>96</v>
      </c>
      <c r="V63" s="697" t="e">
        <f>SUM(AN49,V57)</f>
        <v>#REF!</v>
      </c>
      <c r="W63" s="698"/>
      <c r="X63" s="698"/>
      <c r="Y63" s="698"/>
      <c r="Z63" s="698"/>
      <c r="AA63" s="698"/>
      <c r="AB63" s="698"/>
      <c r="AC63" s="699" t="s">
        <v>114</v>
      </c>
      <c r="AD63" s="695"/>
      <c r="AE63" s="695"/>
      <c r="AF63" s="695"/>
      <c r="AG63" s="695"/>
      <c r="AH63" s="695"/>
      <c r="AI63" s="695"/>
      <c r="AJ63" s="696" t="e">
        <f>IF(AN58="","",AN63/I5*100)</f>
        <v>#REF!</v>
      </c>
      <c r="AK63" s="696"/>
      <c r="AL63" s="696"/>
      <c r="AM63" s="230" t="s">
        <v>96</v>
      </c>
      <c r="AN63" s="697" t="e">
        <f>IF(AN58="","",SUM(AN49,AN57))</f>
        <v>#REF!</v>
      </c>
      <c r="AO63" s="698"/>
      <c r="AP63" s="698"/>
      <c r="AQ63" s="698"/>
      <c r="AR63" s="698"/>
      <c r="AS63" s="698"/>
      <c r="AT63" s="700"/>
      <c r="AY63" s="113" t="s">
        <v>113</v>
      </c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207"/>
      <c r="BM63" s="111"/>
      <c r="BS63" s="88">
        <v>1000000001</v>
      </c>
      <c r="BT63" s="92">
        <v>9.9999999999999903E+37</v>
      </c>
      <c r="BU63" s="90" t="e">
        <f t="shared" si="3"/>
        <v>#REF!</v>
      </c>
      <c r="BV63" s="91">
        <v>200000</v>
      </c>
      <c r="BX63" s="87" t="e">
        <f t="shared" si="5"/>
        <v>#REF!</v>
      </c>
      <c r="BY63" s="87" t="e">
        <f t="shared" si="4"/>
        <v>#REF!</v>
      </c>
    </row>
    <row r="64" spans="2:77" ht="6" customHeight="1" thickBot="1">
      <c r="AY64" s="109"/>
      <c r="BM64" s="108"/>
    </row>
    <row r="65" spans="2:65" ht="14.25" customHeight="1" thickBot="1">
      <c r="B65" s="139" t="s">
        <v>112</v>
      </c>
      <c r="C65" s="138"/>
      <c r="D65" s="138"/>
      <c r="E65" s="138"/>
      <c r="F65" s="138"/>
      <c r="G65" s="138"/>
      <c r="H65" s="138"/>
      <c r="I65" s="138"/>
      <c r="J65" s="138"/>
      <c r="K65" s="701" t="s">
        <v>111</v>
      </c>
      <c r="L65" s="702"/>
      <c r="M65" s="702"/>
      <c r="N65" s="702"/>
      <c r="O65" s="703" t="e">
        <f>AK45+AN49</f>
        <v>#REF!</v>
      </c>
      <c r="P65" s="703"/>
      <c r="Q65" s="703"/>
      <c r="R65" s="703"/>
      <c r="S65" s="703"/>
      <c r="T65" s="704"/>
      <c r="U65" s="702" t="s">
        <v>110</v>
      </c>
      <c r="V65" s="702"/>
      <c r="W65" s="702"/>
      <c r="X65" s="702"/>
      <c r="Y65" s="705" t="e">
        <f>O65/$I$5*100</f>
        <v>#REF!</v>
      </c>
      <c r="Z65" s="705"/>
      <c r="AA65" s="705"/>
      <c r="AB65" s="137" t="s">
        <v>192</v>
      </c>
      <c r="AC65" s="702" t="s">
        <v>109</v>
      </c>
      <c r="AD65" s="702"/>
      <c r="AE65" s="702"/>
      <c r="AF65" s="702"/>
      <c r="AG65" s="706" t="e">
        <f>I5-O65</f>
        <v>#REF!</v>
      </c>
      <c r="AH65" s="706"/>
      <c r="AI65" s="706"/>
      <c r="AJ65" s="706"/>
      <c r="AK65" s="706"/>
      <c r="AL65" s="707"/>
      <c r="AM65" s="695" t="s">
        <v>108</v>
      </c>
      <c r="AN65" s="695"/>
      <c r="AO65" s="695"/>
      <c r="AP65" s="695"/>
      <c r="AQ65" s="705" t="e">
        <f>AG65/$I$5*100</f>
        <v>#REF!</v>
      </c>
      <c r="AR65" s="705"/>
      <c r="AS65" s="705"/>
      <c r="AT65" s="137" t="s">
        <v>192</v>
      </c>
      <c r="AY65" s="109"/>
      <c r="BA65" s="87" t="s">
        <v>217</v>
      </c>
      <c r="BM65" s="108"/>
    </row>
    <row r="66" spans="2:65" ht="14.25" customHeight="1">
      <c r="B66" s="622" t="s">
        <v>195</v>
      </c>
      <c r="C66" s="623"/>
      <c r="D66" s="624"/>
      <c r="E66" s="671" t="s">
        <v>194</v>
      </c>
      <c r="F66" s="672"/>
      <c r="G66" s="672"/>
      <c r="H66" s="672"/>
      <c r="I66" s="672"/>
      <c r="J66" s="673"/>
      <c r="K66" s="632" t="s">
        <v>107</v>
      </c>
      <c r="L66" s="674"/>
      <c r="M66" s="674"/>
      <c r="N66" s="674"/>
      <c r="O66" s="675" t="e">
        <f>AK45+V63</f>
        <v>#REF!</v>
      </c>
      <c r="P66" s="675"/>
      <c r="Q66" s="675"/>
      <c r="R66" s="675"/>
      <c r="S66" s="675"/>
      <c r="T66" s="620"/>
      <c r="U66" s="229" t="s">
        <v>106</v>
      </c>
      <c r="V66" s="229"/>
      <c r="W66" s="229"/>
      <c r="X66" s="229"/>
      <c r="Y66" s="676" t="e">
        <f>O66/$I$5*100</f>
        <v>#REF!</v>
      </c>
      <c r="Z66" s="676"/>
      <c r="AA66" s="676"/>
      <c r="AB66" s="136" t="s">
        <v>192</v>
      </c>
      <c r="AC66" s="677" t="s">
        <v>105</v>
      </c>
      <c r="AD66" s="674"/>
      <c r="AE66" s="674"/>
      <c r="AF66" s="674"/>
      <c r="AG66" s="675" t="e">
        <f>I5-O66</f>
        <v>#REF!</v>
      </c>
      <c r="AH66" s="675"/>
      <c r="AI66" s="675"/>
      <c r="AJ66" s="675"/>
      <c r="AK66" s="675"/>
      <c r="AL66" s="620"/>
      <c r="AM66" s="229" t="s">
        <v>104</v>
      </c>
      <c r="AN66" s="229"/>
      <c r="AO66" s="229"/>
      <c r="AP66" s="229"/>
      <c r="AQ66" s="676" t="e">
        <f>AG66/$I$5*100</f>
        <v>#REF!</v>
      </c>
      <c r="AR66" s="676"/>
      <c r="AS66" s="676"/>
      <c r="AT66" s="125" t="s">
        <v>96</v>
      </c>
      <c r="AY66" s="109"/>
      <c r="BA66" s="87" t="s">
        <v>216</v>
      </c>
      <c r="BM66" s="108"/>
    </row>
    <row r="67" spans="2:65" ht="14.25" customHeight="1" thickBot="1">
      <c r="B67" s="625"/>
      <c r="C67" s="626"/>
      <c r="D67" s="627"/>
      <c r="E67" s="678" t="s">
        <v>193</v>
      </c>
      <c r="F67" s="679"/>
      <c r="G67" s="679"/>
      <c r="H67" s="679"/>
      <c r="I67" s="679"/>
      <c r="J67" s="680"/>
      <c r="K67" s="681" t="s">
        <v>107</v>
      </c>
      <c r="L67" s="682"/>
      <c r="M67" s="682"/>
      <c r="N67" s="682"/>
      <c r="O67" s="683" t="e">
        <f>IF(AN58="","",AK45+AN63)</f>
        <v>#REF!</v>
      </c>
      <c r="P67" s="683"/>
      <c r="Q67" s="683"/>
      <c r="R67" s="683"/>
      <c r="S67" s="683"/>
      <c r="T67" s="684"/>
      <c r="U67" s="228" t="s">
        <v>106</v>
      </c>
      <c r="V67" s="228"/>
      <c r="W67" s="228"/>
      <c r="X67" s="228"/>
      <c r="Y67" s="685" t="e">
        <f>IF(AN58="","",O67/$I$5*100)</f>
        <v>#REF!</v>
      </c>
      <c r="Z67" s="685"/>
      <c r="AA67" s="685"/>
      <c r="AB67" s="135" t="s">
        <v>192</v>
      </c>
      <c r="AC67" s="686" t="s">
        <v>105</v>
      </c>
      <c r="AD67" s="687"/>
      <c r="AE67" s="687"/>
      <c r="AF67" s="687"/>
      <c r="AG67" s="683" t="e">
        <f>IF(AN58="","",I5-O67)</f>
        <v>#REF!</v>
      </c>
      <c r="AH67" s="683"/>
      <c r="AI67" s="683"/>
      <c r="AJ67" s="683"/>
      <c r="AK67" s="683"/>
      <c r="AL67" s="684"/>
      <c r="AM67" s="228" t="s">
        <v>104</v>
      </c>
      <c r="AN67" s="228"/>
      <c r="AO67" s="228"/>
      <c r="AP67" s="228"/>
      <c r="AQ67" s="685" t="e">
        <f>IF(AN58="","",AG67/$I$5*100)</f>
        <v>#REF!</v>
      </c>
      <c r="AR67" s="685"/>
      <c r="AS67" s="685"/>
      <c r="AT67" s="134" t="s">
        <v>96</v>
      </c>
      <c r="AY67" s="109"/>
      <c r="BA67" s="87" t="s">
        <v>215</v>
      </c>
      <c r="BM67" s="108"/>
    </row>
    <row r="68" spans="2:65" ht="6" customHeight="1" thickBot="1">
      <c r="AY68" s="104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2"/>
    </row>
    <row r="69" spans="2:65" ht="14.25" customHeight="1" thickBot="1">
      <c r="B69" s="133" t="s">
        <v>103</v>
      </c>
      <c r="C69" s="131"/>
      <c r="D69" s="131"/>
      <c r="E69" s="131"/>
      <c r="F69" s="131"/>
      <c r="G69" s="131"/>
      <c r="H69" s="131"/>
      <c r="I69" s="131"/>
      <c r="J69" s="131"/>
      <c r="K69" s="131"/>
      <c r="L69" s="132"/>
      <c r="M69" s="132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0"/>
    </row>
    <row r="70" spans="2:65" ht="14.25" customHeight="1" thickTop="1">
      <c r="B70" s="129">
        <v>1</v>
      </c>
      <c r="C70" s="658" t="s">
        <v>233</v>
      </c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60"/>
      <c r="O70" s="658" t="str">
        <f>CONCATENATE("工事価格 * ",FIXED(BG8*100,1),"%")</f>
        <v>工事価格 * 3.5%</v>
      </c>
      <c r="P70" s="659"/>
      <c r="Q70" s="659"/>
      <c r="R70" s="659"/>
      <c r="S70" s="659"/>
      <c r="T70" s="659"/>
      <c r="U70" s="659"/>
      <c r="V70" s="659"/>
      <c r="W70" s="659"/>
      <c r="X70" s="659"/>
      <c r="Y70" s="660"/>
      <c r="Z70" s="658"/>
      <c r="AA70" s="659"/>
      <c r="AB70" s="659"/>
      <c r="AC70" s="659"/>
      <c r="AD70" s="659"/>
      <c r="AE70" s="659"/>
      <c r="AF70" s="659"/>
      <c r="AG70" s="659"/>
      <c r="AH70" s="659"/>
      <c r="AI70" s="659"/>
      <c r="AJ70" s="659"/>
      <c r="AK70" s="659"/>
      <c r="AL70" s="659"/>
      <c r="AM70" s="660"/>
      <c r="AN70" s="661" t="e">
        <f>I5*BG8</f>
        <v>#REF!</v>
      </c>
      <c r="AO70" s="662"/>
      <c r="AP70" s="662"/>
      <c r="AQ70" s="662"/>
      <c r="AR70" s="662"/>
      <c r="AS70" s="662"/>
      <c r="AT70" s="663"/>
    </row>
    <row r="71" spans="2:65" ht="14.25" customHeight="1">
      <c r="B71" s="129">
        <v>2</v>
      </c>
      <c r="C71" s="664" t="s">
        <v>102</v>
      </c>
      <c r="D71" s="665"/>
      <c r="E71" s="665"/>
      <c r="F71" s="665"/>
      <c r="G71" s="665"/>
      <c r="H71" s="665"/>
      <c r="I71" s="665"/>
      <c r="J71" s="665"/>
      <c r="K71" s="665"/>
      <c r="L71" s="665"/>
      <c r="M71" s="665"/>
      <c r="N71" s="666"/>
      <c r="O71" s="664"/>
      <c r="P71" s="665"/>
      <c r="Q71" s="665"/>
      <c r="R71" s="665"/>
      <c r="S71" s="665"/>
      <c r="T71" s="665"/>
      <c r="U71" s="665"/>
      <c r="V71" s="665"/>
      <c r="W71" s="665"/>
      <c r="X71" s="665"/>
      <c r="Y71" s="666"/>
      <c r="Z71" s="664" t="s">
        <v>191</v>
      </c>
      <c r="AA71" s="665"/>
      <c r="AB71" s="665"/>
      <c r="AC71" s="665"/>
      <c r="AD71" s="665"/>
      <c r="AE71" s="665"/>
      <c r="AF71" s="665"/>
      <c r="AG71" s="665"/>
      <c r="AH71" s="665"/>
      <c r="AI71" s="665"/>
      <c r="AJ71" s="665"/>
      <c r="AK71" s="665"/>
      <c r="AL71" s="665"/>
      <c r="AM71" s="666"/>
      <c r="AN71" s="604">
        <v>0</v>
      </c>
      <c r="AO71" s="605"/>
      <c r="AP71" s="605"/>
      <c r="AQ71" s="605"/>
      <c r="AR71" s="605"/>
      <c r="AS71" s="605"/>
      <c r="AT71" s="667"/>
      <c r="AV71" s="128" t="s">
        <v>101</v>
      </c>
      <c r="AW71" s="128"/>
      <c r="AX71" s="128"/>
      <c r="AY71" s="128"/>
    </row>
    <row r="72" spans="2:65" ht="14.25" customHeight="1" thickBot="1">
      <c r="B72" s="127">
        <v>3</v>
      </c>
      <c r="C72" s="642"/>
      <c r="D72" s="643"/>
      <c r="E72" s="643"/>
      <c r="F72" s="643"/>
      <c r="G72" s="643"/>
      <c r="H72" s="643"/>
      <c r="I72" s="643"/>
      <c r="J72" s="643"/>
      <c r="K72" s="643"/>
      <c r="L72" s="643"/>
      <c r="M72" s="643"/>
      <c r="N72" s="644"/>
      <c r="O72" s="642"/>
      <c r="P72" s="643"/>
      <c r="Q72" s="643"/>
      <c r="R72" s="643"/>
      <c r="S72" s="643"/>
      <c r="T72" s="643"/>
      <c r="U72" s="643"/>
      <c r="V72" s="643"/>
      <c r="W72" s="643"/>
      <c r="X72" s="643"/>
      <c r="Y72" s="644"/>
      <c r="Z72" s="642"/>
      <c r="AA72" s="643"/>
      <c r="AB72" s="643"/>
      <c r="AC72" s="643"/>
      <c r="AD72" s="643"/>
      <c r="AE72" s="643"/>
      <c r="AF72" s="643"/>
      <c r="AG72" s="643"/>
      <c r="AH72" s="643"/>
      <c r="AI72" s="643"/>
      <c r="AJ72" s="643"/>
      <c r="AK72" s="643"/>
      <c r="AL72" s="643"/>
      <c r="AM72" s="644"/>
      <c r="AN72" s="668">
        <v>0</v>
      </c>
      <c r="AO72" s="669"/>
      <c r="AP72" s="669"/>
      <c r="AQ72" s="669"/>
      <c r="AR72" s="669"/>
      <c r="AS72" s="669"/>
      <c r="AT72" s="670"/>
    </row>
    <row r="73" spans="2:65" ht="14.25" customHeight="1">
      <c r="B73" s="622" t="s">
        <v>190</v>
      </c>
      <c r="C73" s="623"/>
      <c r="D73" s="623"/>
      <c r="E73" s="623"/>
      <c r="F73" s="624"/>
      <c r="G73" s="628" t="s">
        <v>189</v>
      </c>
      <c r="H73" s="629"/>
      <c r="I73" s="629"/>
      <c r="J73" s="629"/>
      <c r="K73" s="629"/>
      <c r="L73" s="629"/>
      <c r="M73" s="629"/>
      <c r="N73" s="629"/>
      <c r="O73" s="630"/>
      <c r="P73" s="621" t="e">
        <f>O65+ROUNDUP(SUM(V58:AB61)+SUM(AN70:AT72),-3)</f>
        <v>#REF!</v>
      </c>
      <c r="Q73" s="621"/>
      <c r="R73" s="621"/>
      <c r="S73" s="621"/>
      <c r="T73" s="621"/>
      <c r="U73" s="621"/>
      <c r="V73" s="631" t="s">
        <v>99</v>
      </c>
      <c r="W73" s="631"/>
      <c r="X73" s="631"/>
      <c r="Y73" s="632"/>
      <c r="Z73" s="633" t="e">
        <f>P73/$I$5*100</f>
        <v>#REF!</v>
      </c>
      <c r="AA73" s="634"/>
      <c r="AB73" s="635"/>
      <c r="AC73" s="126" t="s">
        <v>96</v>
      </c>
      <c r="AD73" s="636" t="s">
        <v>100</v>
      </c>
      <c r="AE73" s="637"/>
      <c r="AF73" s="637"/>
      <c r="AG73" s="638"/>
      <c r="AH73" s="620" t="e">
        <f>I5-P73</f>
        <v>#REF!</v>
      </c>
      <c r="AI73" s="621"/>
      <c r="AJ73" s="621"/>
      <c r="AK73" s="621"/>
      <c r="AL73" s="621"/>
      <c r="AM73" s="621"/>
      <c r="AN73" s="631" t="s">
        <v>97</v>
      </c>
      <c r="AO73" s="631"/>
      <c r="AP73" s="632"/>
      <c r="AQ73" s="639" t="e">
        <f>AH73/$I$5*100</f>
        <v>#REF!</v>
      </c>
      <c r="AR73" s="640"/>
      <c r="AS73" s="641"/>
      <c r="AT73" s="125" t="s">
        <v>96</v>
      </c>
    </row>
    <row r="74" spans="2:65" ht="14.25" customHeight="1" thickBot="1">
      <c r="B74" s="625"/>
      <c r="C74" s="626"/>
      <c r="D74" s="626"/>
      <c r="E74" s="626"/>
      <c r="F74" s="627"/>
      <c r="G74" s="642" t="s">
        <v>188</v>
      </c>
      <c r="H74" s="643"/>
      <c r="I74" s="643"/>
      <c r="J74" s="643"/>
      <c r="K74" s="643"/>
      <c r="L74" s="643"/>
      <c r="M74" s="643"/>
      <c r="N74" s="643"/>
      <c r="O74" s="644"/>
      <c r="P74" s="645" t="e">
        <f>IF(AN58="","",O65+ROUNDUP(SUM(AN58:AT61)+SUM(AN70:AT72),-3))</f>
        <v>#REF!</v>
      </c>
      <c r="Q74" s="645"/>
      <c r="R74" s="645"/>
      <c r="S74" s="645"/>
      <c r="T74" s="645"/>
      <c r="U74" s="645"/>
      <c r="V74" s="646" t="s">
        <v>99</v>
      </c>
      <c r="W74" s="646"/>
      <c r="X74" s="646"/>
      <c r="Y74" s="647"/>
      <c r="Z74" s="648" t="e">
        <f>IF(AN58="","",P74/$I$5*100)</f>
        <v>#REF!</v>
      </c>
      <c r="AA74" s="649"/>
      <c r="AB74" s="650"/>
      <c r="AC74" s="124" t="s">
        <v>96</v>
      </c>
      <c r="AD74" s="651" t="s">
        <v>98</v>
      </c>
      <c r="AE74" s="652"/>
      <c r="AF74" s="652"/>
      <c r="AG74" s="653"/>
      <c r="AH74" s="654" t="e">
        <f>IF(AN58="","",I5-P74)</f>
        <v>#REF!</v>
      </c>
      <c r="AI74" s="645"/>
      <c r="AJ74" s="645"/>
      <c r="AK74" s="645"/>
      <c r="AL74" s="645"/>
      <c r="AM74" s="645"/>
      <c r="AN74" s="646" t="s">
        <v>97</v>
      </c>
      <c r="AO74" s="646"/>
      <c r="AP74" s="647"/>
      <c r="AQ74" s="655" t="e">
        <f>IF(AN58="","",AH74/$I$5*100)</f>
        <v>#REF!</v>
      </c>
      <c r="AR74" s="656"/>
      <c r="AS74" s="657"/>
      <c r="AT74" s="123" t="s">
        <v>96</v>
      </c>
    </row>
    <row r="75" spans="2:65" ht="6" customHeight="1">
      <c r="L75" s="122"/>
      <c r="M75" s="122"/>
      <c r="AE75" s="208"/>
      <c r="AF75" s="209"/>
      <c r="AG75" s="209"/>
      <c r="AH75" s="209"/>
      <c r="AK75" s="210"/>
      <c r="AL75" s="210"/>
      <c r="AM75" s="210"/>
      <c r="AN75" s="210"/>
      <c r="AO75" s="210"/>
      <c r="AP75" s="210"/>
      <c r="AQ75" s="210"/>
      <c r="AR75" s="210"/>
      <c r="AS75" s="210"/>
      <c r="AT75" s="210"/>
    </row>
    <row r="76" spans="2:65">
      <c r="B76" s="121"/>
      <c r="C76" s="120"/>
      <c r="D76" s="120"/>
      <c r="E76" s="120"/>
      <c r="F76" s="119"/>
      <c r="H76" s="87" t="s">
        <v>95</v>
      </c>
    </row>
    <row r="77" spans="2:65" ht="12" customHeight="1">
      <c r="B77" s="106" t="s">
        <v>94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7"/>
      <c r="M77" s="107"/>
      <c r="N77" s="106"/>
      <c r="O77" s="106"/>
      <c r="P77" s="106"/>
      <c r="Q77" s="616" t="s">
        <v>93</v>
      </c>
      <c r="R77" s="616"/>
      <c r="S77" s="616"/>
      <c r="T77" s="616"/>
      <c r="U77" s="616"/>
      <c r="V77" s="616"/>
      <c r="W77" s="106"/>
      <c r="X77" s="106"/>
      <c r="Y77" s="616" t="s">
        <v>92</v>
      </c>
      <c r="Z77" s="616"/>
      <c r="AA77" s="616"/>
      <c r="AB77" s="616"/>
      <c r="AC77" s="616"/>
      <c r="AD77" s="616"/>
      <c r="AE77" s="616"/>
      <c r="AF77" s="617" t="s">
        <v>91</v>
      </c>
      <c r="AG77" s="618"/>
      <c r="AH77" s="618"/>
      <c r="AI77" s="618"/>
      <c r="AJ77" s="619"/>
      <c r="AK77" s="211"/>
      <c r="AL77" s="212" t="s">
        <v>36</v>
      </c>
      <c r="AM77" s="212"/>
      <c r="AN77" s="212"/>
      <c r="AO77" s="213"/>
      <c r="AP77" s="211"/>
      <c r="AQ77" s="212" t="s">
        <v>90</v>
      </c>
      <c r="AR77" s="212"/>
      <c r="AS77" s="212"/>
      <c r="AT77" s="213"/>
      <c r="BE77" s="205"/>
    </row>
    <row r="78" spans="2:65" ht="12" customHeight="1">
      <c r="B78" s="118" t="s">
        <v>89</v>
      </c>
      <c r="C78" s="117"/>
      <c r="D78" s="117"/>
      <c r="E78" s="117"/>
      <c r="F78" s="116"/>
      <c r="G78" s="613" t="e">
        <f>O66</f>
        <v>#REF!</v>
      </c>
      <c r="H78" s="614"/>
      <c r="I78" s="614"/>
      <c r="J78" s="614"/>
      <c r="K78" s="614"/>
      <c r="L78" s="614"/>
      <c r="M78" s="615"/>
      <c r="N78" s="106"/>
      <c r="O78" s="106"/>
      <c r="P78" s="106"/>
      <c r="Q78" s="115" t="s">
        <v>187</v>
      </c>
      <c r="R78" s="115"/>
      <c r="S78" s="114"/>
      <c r="T78" s="114"/>
      <c r="U78" s="114"/>
      <c r="V78" s="114"/>
      <c r="W78" s="106"/>
      <c r="X78" s="106"/>
      <c r="Y78" s="613" t="e">
        <f>G78/1</f>
        <v>#REF!</v>
      </c>
      <c r="Z78" s="614"/>
      <c r="AA78" s="614"/>
      <c r="AB78" s="614"/>
      <c r="AC78" s="614"/>
      <c r="AD78" s="615"/>
      <c r="AE78" s="105" t="s">
        <v>88</v>
      </c>
      <c r="AF78" s="113"/>
      <c r="AG78" s="112"/>
      <c r="AH78" s="112"/>
      <c r="AI78" s="112"/>
      <c r="AJ78" s="111"/>
      <c r="AK78" s="113"/>
      <c r="AL78" s="112"/>
      <c r="AM78" s="112"/>
      <c r="AN78" s="112"/>
      <c r="AO78" s="111"/>
      <c r="AP78" s="113"/>
      <c r="AQ78" s="112"/>
      <c r="AR78" s="112"/>
      <c r="AS78" s="112"/>
      <c r="AT78" s="111"/>
      <c r="AU78" s="110"/>
    </row>
    <row r="79" spans="2:65" ht="12" customHeight="1"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7"/>
      <c r="M79" s="107"/>
      <c r="N79" s="106"/>
      <c r="O79" s="106"/>
      <c r="P79" s="106"/>
      <c r="Q79" s="106" t="s">
        <v>186</v>
      </c>
      <c r="R79" s="222"/>
      <c r="S79" s="222"/>
      <c r="T79" s="222"/>
      <c r="U79" s="222"/>
      <c r="V79" s="222"/>
      <c r="W79" s="106"/>
      <c r="X79" s="106"/>
      <c r="Y79" s="613" t="e">
        <f>G78/(1-0.03)</f>
        <v>#REF!</v>
      </c>
      <c r="Z79" s="614"/>
      <c r="AA79" s="614"/>
      <c r="AB79" s="614"/>
      <c r="AC79" s="614"/>
      <c r="AD79" s="615"/>
      <c r="AE79" s="105" t="s">
        <v>88</v>
      </c>
      <c r="AF79" s="109"/>
      <c r="AJ79" s="108"/>
      <c r="AK79" s="109"/>
      <c r="AO79" s="108"/>
      <c r="AP79" s="109"/>
      <c r="AT79" s="108"/>
    </row>
    <row r="80" spans="2:65" ht="12" customHeight="1"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7"/>
      <c r="M80" s="107"/>
      <c r="N80" s="106"/>
      <c r="O80" s="106"/>
      <c r="P80" s="106"/>
      <c r="Q80" s="106" t="s">
        <v>185</v>
      </c>
      <c r="R80" s="222"/>
      <c r="S80" s="222"/>
      <c r="T80" s="222"/>
      <c r="U80" s="222"/>
      <c r="V80" s="222"/>
      <c r="W80" s="106"/>
      <c r="X80" s="106"/>
      <c r="Y80" s="613" t="e">
        <f>G78/(1-0.03-0.01)</f>
        <v>#REF!</v>
      </c>
      <c r="Z80" s="614"/>
      <c r="AA80" s="614"/>
      <c r="AB80" s="614"/>
      <c r="AC80" s="614"/>
      <c r="AD80" s="615"/>
      <c r="AE80" s="105" t="s">
        <v>88</v>
      </c>
      <c r="AF80" s="109"/>
      <c r="AJ80" s="108"/>
      <c r="AK80" s="109"/>
      <c r="AO80" s="108"/>
      <c r="AP80" s="109"/>
      <c r="AT80" s="108"/>
    </row>
    <row r="81" spans="2:56" ht="12" customHeight="1"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7"/>
      <c r="M81" s="107"/>
      <c r="N81" s="106"/>
      <c r="O81" s="106"/>
      <c r="P81" s="106"/>
      <c r="Q81" s="106" t="s">
        <v>184</v>
      </c>
      <c r="R81" s="222"/>
      <c r="S81" s="222"/>
      <c r="T81" s="222"/>
      <c r="U81" s="222"/>
      <c r="V81" s="222"/>
      <c r="W81" s="106"/>
      <c r="X81" s="106"/>
      <c r="Y81" s="613" t="e">
        <f>G78/(1-0.03-0.02)</f>
        <v>#REF!</v>
      </c>
      <c r="Z81" s="614"/>
      <c r="AA81" s="614"/>
      <c r="AB81" s="614"/>
      <c r="AC81" s="614"/>
      <c r="AD81" s="615"/>
      <c r="AE81" s="105" t="s">
        <v>88</v>
      </c>
      <c r="AF81" s="109"/>
      <c r="AJ81" s="108"/>
      <c r="AK81" s="109"/>
      <c r="AO81" s="108"/>
      <c r="AP81" s="109"/>
      <c r="AT81" s="108"/>
    </row>
    <row r="82" spans="2:56" ht="12" customHeight="1"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7"/>
      <c r="M82" s="107"/>
      <c r="N82" s="106"/>
      <c r="O82" s="106"/>
      <c r="P82" s="106"/>
      <c r="Q82" s="106" t="s">
        <v>183</v>
      </c>
      <c r="R82" s="222"/>
      <c r="S82" s="222"/>
      <c r="T82" s="222"/>
      <c r="U82" s="222"/>
      <c r="V82" s="222"/>
      <c r="W82" s="106"/>
      <c r="X82" s="106"/>
      <c r="Y82" s="613" t="e">
        <f>G78/(1-0.03-0.03)</f>
        <v>#REF!</v>
      </c>
      <c r="Z82" s="614"/>
      <c r="AA82" s="614"/>
      <c r="AB82" s="614"/>
      <c r="AC82" s="614"/>
      <c r="AD82" s="615"/>
      <c r="AE82" s="105" t="s">
        <v>88</v>
      </c>
      <c r="AF82" s="109"/>
      <c r="AJ82" s="108"/>
      <c r="AK82" s="109"/>
      <c r="AO82" s="108"/>
      <c r="AP82" s="109"/>
      <c r="AT82" s="108"/>
    </row>
    <row r="83" spans="2:56" ht="6" customHeight="1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7"/>
      <c r="M83" s="107"/>
      <c r="N83" s="106"/>
      <c r="O83" s="106"/>
      <c r="P83" s="106"/>
      <c r="Q83" s="106"/>
      <c r="R83" s="222"/>
      <c r="S83" s="222"/>
      <c r="T83" s="222"/>
      <c r="U83" s="222"/>
      <c r="V83" s="222"/>
      <c r="W83" s="106"/>
      <c r="X83" s="106"/>
      <c r="Y83" s="214"/>
      <c r="Z83" s="214"/>
      <c r="AA83" s="214"/>
      <c r="AB83" s="214"/>
      <c r="AC83" s="214"/>
      <c r="AD83" s="214"/>
      <c r="AE83" s="105"/>
      <c r="AF83" s="104"/>
      <c r="AG83" s="103"/>
      <c r="AH83" s="103"/>
      <c r="AI83" s="103"/>
      <c r="AJ83" s="102"/>
      <c r="AK83" s="104"/>
      <c r="AL83" s="103"/>
      <c r="AM83" s="103"/>
      <c r="AN83" s="103"/>
      <c r="AO83" s="102"/>
      <c r="AP83" s="104"/>
      <c r="AQ83" s="103"/>
      <c r="AR83" s="103"/>
      <c r="AS83" s="103"/>
      <c r="AT83" s="102"/>
    </row>
    <row r="84" spans="2:56" ht="13.5" customHeight="1">
      <c r="B84" s="170" t="s">
        <v>87</v>
      </c>
      <c r="L84" s="101"/>
      <c r="M84" s="101"/>
      <c r="R84" s="215"/>
      <c r="S84" s="215"/>
      <c r="T84" s="215"/>
      <c r="U84" s="215"/>
      <c r="V84" s="215"/>
      <c r="Y84" s="216"/>
      <c r="Z84" s="216"/>
      <c r="AA84" s="216"/>
      <c r="AB84" s="216"/>
      <c r="AC84" s="216"/>
      <c r="AD84" s="216"/>
      <c r="AE84" s="217"/>
    </row>
    <row r="85" spans="2:56" ht="13.5" customHeight="1">
      <c r="B85" s="225"/>
      <c r="C85" s="226"/>
      <c r="D85" s="226"/>
      <c r="E85" s="226"/>
      <c r="F85" s="227"/>
      <c r="G85" s="601" t="s">
        <v>86</v>
      </c>
      <c r="H85" s="602"/>
      <c r="I85" s="602"/>
      <c r="J85" s="603"/>
      <c r="K85" s="601" t="s">
        <v>86</v>
      </c>
      <c r="L85" s="602"/>
      <c r="M85" s="602"/>
      <c r="N85" s="603"/>
      <c r="O85" s="601" t="s">
        <v>86</v>
      </c>
      <c r="P85" s="602"/>
      <c r="Q85" s="602"/>
      <c r="R85" s="603"/>
      <c r="S85" s="601" t="s">
        <v>86</v>
      </c>
      <c r="T85" s="602"/>
      <c r="U85" s="602"/>
      <c r="V85" s="603"/>
      <c r="W85" s="601" t="s">
        <v>86</v>
      </c>
      <c r="X85" s="602"/>
      <c r="Y85" s="602"/>
      <c r="Z85" s="603"/>
      <c r="AA85" s="601" t="s">
        <v>86</v>
      </c>
      <c r="AB85" s="602"/>
      <c r="AC85" s="602"/>
      <c r="AD85" s="603"/>
      <c r="AE85" s="601" t="s">
        <v>86</v>
      </c>
      <c r="AF85" s="602"/>
      <c r="AG85" s="602"/>
      <c r="AH85" s="603"/>
      <c r="AI85" s="601" t="s">
        <v>86</v>
      </c>
      <c r="AJ85" s="602"/>
      <c r="AK85" s="602"/>
      <c r="AL85" s="603"/>
      <c r="AM85" s="601" t="s">
        <v>86</v>
      </c>
      <c r="AN85" s="602"/>
      <c r="AO85" s="602"/>
      <c r="AP85" s="603"/>
      <c r="AQ85" s="601" t="s">
        <v>86</v>
      </c>
      <c r="AR85" s="602"/>
      <c r="AS85" s="602"/>
      <c r="AT85" s="603"/>
      <c r="AW85" s="205" t="s">
        <v>85</v>
      </c>
      <c r="AX85" s="205"/>
      <c r="AY85" s="205"/>
      <c r="AZ85" s="205"/>
      <c r="BA85" s="205"/>
      <c r="BB85" s="205"/>
      <c r="BC85" s="205"/>
      <c r="BD85" s="205"/>
    </row>
    <row r="86" spans="2:56" ht="13.5" customHeight="1">
      <c r="B86" s="225" t="s">
        <v>84</v>
      </c>
      <c r="C86" s="226"/>
      <c r="D86" s="226"/>
      <c r="E86" s="226"/>
      <c r="F86" s="227"/>
      <c r="G86" s="604"/>
      <c r="H86" s="605"/>
      <c r="I86" s="605"/>
      <c r="J86" s="606"/>
      <c r="K86" s="604"/>
      <c r="L86" s="605"/>
      <c r="M86" s="605"/>
      <c r="N86" s="606"/>
      <c r="O86" s="604"/>
      <c r="P86" s="605"/>
      <c r="Q86" s="605"/>
      <c r="R86" s="606"/>
      <c r="S86" s="604"/>
      <c r="T86" s="605"/>
      <c r="U86" s="605"/>
      <c r="V86" s="606"/>
      <c r="W86" s="604"/>
      <c r="X86" s="605"/>
      <c r="Y86" s="605"/>
      <c r="Z86" s="606"/>
      <c r="AA86" s="607"/>
      <c r="AB86" s="608"/>
      <c r="AC86" s="608"/>
      <c r="AD86" s="609"/>
      <c r="AE86" s="610"/>
      <c r="AF86" s="611"/>
      <c r="AG86" s="611"/>
      <c r="AH86" s="612"/>
      <c r="AI86" s="610"/>
      <c r="AJ86" s="611"/>
      <c r="AK86" s="611"/>
      <c r="AL86" s="612"/>
      <c r="AM86" s="610"/>
      <c r="AN86" s="611"/>
      <c r="AO86" s="611"/>
      <c r="AP86" s="612"/>
      <c r="AQ86" s="610"/>
      <c r="AR86" s="611"/>
      <c r="AS86" s="611"/>
      <c r="AT86" s="612"/>
      <c r="AW86" s="591" t="e">
        <f>I5/1000-SUM(G86:AT86)</f>
        <v>#REF!</v>
      </c>
      <c r="AX86" s="592"/>
      <c r="AY86" s="592"/>
      <c r="AZ86" s="593"/>
    </row>
    <row r="87" spans="2:56" ht="13.5" customHeight="1">
      <c r="B87" s="113" t="s">
        <v>83</v>
      </c>
      <c r="C87" s="112"/>
      <c r="D87" s="112"/>
      <c r="E87" s="112"/>
      <c r="F87" s="111"/>
      <c r="G87" s="588"/>
      <c r="H87" s="589"/>
      <c r="I87" s="589"/>
      <c r="J87" s="590"/>
      <c r="K87" s="588"/>
      <c r="L87" s="589"/>
      <c r="M87" s="589"/>
      <c r="N87" s="590"/>
      <c r="O87" s="588"/>
      <c r="P87" s="589"/>
      <c r="Q87" s="589"/>
      <c r="R87" s="590"/>
      <c r="S87" s="588"/>
      <c r="T87" s="589"/>
      <c r="U87" s="589"/>
      <c r="V87" s="590"/>
      <c r="W87" s="588"/>
      <c r="X87" s="589"/>
      <c r="Y87" s="589"/>
      <c r="Z87" s="590"/>
      <c r="AA87" s="576"/>
      <c r="AB87" s="577"/>
      <c r="AC87" s="577"/>
      <c r="AD87" s="578"/>
      <c r="AE87" s="585"/>
      <c r="AF87" s="586"/>
      <c r="AG87" s="586"/>
      <c r="AH87" s="587"/>
      <c r="AI87" s="585"/>
      <c r="AJ87" s="586"/>
      <c r="AK87" s="586"/>
      <c r="AL87" s="587"/>
      <c r="AM87" s="585"/>
      <c r="AN87" s="586"/>
      <c r="AO87" s="586"/>
      <c r="AP87" s="587"/>
      <c r="AQ87" s="585"/>
      <c r="AR87" s="586"/>
      <c r="AS87" s="586"/>
      <c r="AT87" s="587"/>
      <c r="AW87" s="600"/>
      <c r="AX87" s="600"/>
      <c r="AY87" s="600"/>
      <c r="AZ87" s="600"/>
    </row>
    <row r="88" spans="2:56" ht="13.5" customHeight="1">
      <c r="B88" s="231" t="s">
        <v>81</v>
      </c>
      <c r="C88" s="232"/>
      <c r="D88" s="232"/>
      <c r="E88" s="232"/>
      <c r="F88" s="233"/>
      <c r="G88" s="579"/>
      <c r="H88" s="580"/>
      <c r="I88" s="580"/>
      <c r="J88" s="581"/>
      <c r="K88" s="579"/>
      <c r="L88" s="580"/>
      <c r="M88" s="580"/>
      <c r="N88" s="581"/>
      <c r="O88" s="579"/>
      <c r="P88" s="580"/>
      <c r="Q88" s="580"/>
      <c r="R88" s="581"/>
      <c r="S88" s="579"/>
      <c r="T88" s="580"/>
      <c r="U88" s="580"/>
      <c r="V88" s="581"/>
      <c r="W88" s="579"/>
      <c r="X88" s="580"/>
      <c r="Y88" s="580"/>
      <c r="Z88" s="581"/>
      <c r="AA88" s="582"/>
      <c r="AB88" s="583"/>
      <c r="AC88" s="583"/>
      <c r="AD88" s="584"/>
      <c r="AE88" s="594"/>
      <c r="AF88" s="595"/>
      <c r="AG88" s="595"/>
      <c r="AH88" s="596"/>
      <c r="AI88" s="594"/>
      <c r="AJ88" s="595"/>
      <c r="AK88" s="595"/>
      <c r="AL88" s="596"/>
      <c r="AM88" s="594"/>
      <c r="AN88" s="595"/>
      <c r="AO88" s="595"/>
      <c r="AP88" s="596"/>
      <c r="AQ88" s="594"/>
      <c r="AR88" s="595"/>
      <c r="AS88" s="595"/>
      <c r="AT88" s="596"/>
      <c r="AW88" s="597" t="e">
        <f>I5/1000-SUM(G87:AT88)</f>
        <v>#REF!</v>
      </c>
      <c r="AX88" s="598"/>
      <c r="AY88" s="598"/>
      <c r="AZ88" s="599"/>
    </row>
    <row r="89" spans="2:56" ht="13.5" customHeight="1">
      <c r="B89" s="218" t="s">
        <v>82</v>
      </c>
      <c r="C89" s="219"/>
      <c r="D89" s="219"/>
      <c r="E89" s="219"/>
      <c r="F89" s="220"/>
      <c r="G89" s="588"/>
      <c r="H89" s="589"/>
      <c r="I89" s="589"/>
      <c r="J89" s="590"/>
      <c r="K89" s="588"/>
      <c r="L89" s="589"/>
      <c r="M89" s="589"/>
      <c r="N89" s="590"/>
      <c r="O89" s="588"/>
      <c r="P89" s="589"/>
      <c r="Q89" s="589"/>
      <c r="R89" s="590"/>
      <c r="S89" s="588"/>
      <c r="T89" s="589"/>
      <c r="U89" s="589"/>
      <c r="V89" s="590"/>
      <c r="W89" s="588"/>
      <c r="X89" s="589"/>
      <c r="Y89" s="589"/>
      <c r="Z89" s="590"/>
      <c r="AA89" s="576"/>
      <c r="AB89" s="577"/>
      <c r="AC89" s="577"/>
      <c r="AD89" s="578"/>
      <c r="AE89" s="585"/>
      <c r="AF89" s="586"/>
      <c r="AG89" s="586"/>
      <c r="AH89" s="587"/>
      <c r="AI89" s="585"/>
      <c r="AJ89" s="586"/>
      <c r="AK89" s="586"/>
      <c r="AL89" s="587"/>
      <c r="AM89" s="585"/>
      <c r="AN89" s="586"/>
      <c r="AO89" s="586"/>
      <c r="AP89" s="587"/>
      <c r="AQ89" s="585"/>
      <c r="AR89" s="586"/>
      <c r="AS89" s="586"/>
      <c r="AT89" s="587"/>
      <c r="AW89" s="600"/>
      <c r="AX89" s="600"/>
      <c r="AY89" s="600"/>
      <c r="AZ89" s="600"/>
    </row>
    <row r="90" spans="2:56" ht="13.5" customHeight="1">
      <c r="B90" s="104" t="s">
        <v>81</v>
      </c>
      <c r="C90" s="103"/>
      <c r="D90" s="103"/>
      <c r="E90" s="103"/>
      <c r="F90" s="102"/>
      <c r="G90" s="579"/>
      <c r="H90" s="580"/>
      <c r="I90" s="580"/>
      <c r="J90" s="581"/>
      <c r="K90" s="579"/>
      <c r="L90" s="580"/>
      <c r="M90" s="580"/>
      <c r="N90" s="581"/>
      <c r="O90" s="579"/>
      <c r="P90" s="580"/>
      <c r="Q90" s="580"/>
      <c r="R90" s="581"/>
      <c r="S90" s="579"/>
      <c r="T90" s="580"/>
      <c r="U90" s="580"/>
      <c r="V90" s="581"/>
      <c r="W90" s="579"/>
      <c r="X90" s="580"/>
      <c r="Y90" s="580"/>
      <c r="Z90" s="581"/>
      <c r="AA90" s="582"/>
      <c r="AB90" s="583"/>
      <c r="AC90" s="583"/>
      <c r="AD90" s="584"/>
      <c r="AE90" s="594"/>
      <c r="AF90" s="595"/>
      <c r="AG90" s="595"/>
      <c r="AH90" s="596"/>
      <c r="AI90" s="594"/>
      <c r="AJ90" s="595"/>
      <c r="AK90" s="595"/>
      <c r="AL90" s="596"/>
      <c r="AM90" s="594"/>
      <c r="AN90" s="595"/>
      <c r="AO90" s="595"/>
      <c r="AP90" s="596"/>
      <c r="AQ90" s="594"/>
      <c r="AR90" s="595"/>
      <c r="AS90" s="595"/>
      <c r="AT90" s="596"/>
      <c r="AW90" s="597" t="e">
        <f>O65/1000-SUM(G89:AT90)</f>
        <v>#REF!</v>
      </c>
      <c r="AX90" s="598"/>
      <c r="AY90" s="598"/>
      <c r="AZ90" s="599"/>
    </row>
    <row r="91" spans="2:56" ht="12.75" customHeight="1">
      <c r="B91" s="87" t="s">
        <v>243</v>
      </c>
      <c r="L91" s="101"/>
      <c r="M91" s="101"/>
      <c r="R91" s="221"/>
    </row>
  </sheetData>
  <mergeCells count="319">
    <mergeCell ref="K33:R33"/>
    <mergeCell ref="K34:R34"/>
    <mergeCell ref="K35:R35"/>
    <mergeCell ref="K36:R36"/>
    <mergeCell ref="K37:R37"/>
    <mergeCell ref="K38:R38"/>
    <mergeCell ref="K39:R39"/>
    <mergeCell ref="K40:R40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C42:J42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C34:J34"/>
    <mergeCell ref="C35:J35"/>
    <mergeCell ref="C36:J36"/>
    <mergeCell ref="C37:J37"/>
    <mergeCell ref="C38:J38"/>
    <mergeCell ref="C39:J39"/>
    <mergeCell ref="C40:J40"/>
    <mergeCell ref="I8:Z8"/>
    <mergeCell ref="AK8:AT8"/>
    <mergeCell ref="BG8:BL8"/>
    <mergeCell ref="AJ1:AL1"/>
    <mergeCell ref="AM1:AT1"/>
    <mergeCell ref="W2:AD2"/>
    <mergeCell ref="BA2:BL2"/>
    <mergeCell ref="I4:Z4"/>
    <mergeCell ref="AK4:AT4"/>
    <mergeCell ref="BG4:BL4"/>
    <mergeCell ref="I5:U5"/>
    <mergeCell ref="AK5:AT5"/>
    <mergeCell ref="BG5:BL5"/>
    <mergeCell ref="I6:P6"/>
    <mergeCell ref="R6:Z6"/>
    <mergeCell ref="AK6:AT6"/>
    <mergeCell ref="BG6:BL6"/>
    <mergeCell ref="I7:Z7"/>
    <mergeCell ref="AK7:AT7"/>
    <mergeCell ref="BG7:BL7"/>
    <mergeCell ref="I10:AT11"/>
    <mergeCell ref="AB14:AF14"/>
    <mergeCell ref="AO14:AS14"/>
    <mergeCell ref="C15:J15"/>
    <mergeCell ref="K15:R15"/>
    <mergeCell ref="S15:Z15"/>
    <mergeCell ref="AA15:AG15"/>
    <mergeCell ref="AH15:AM15"/>
    <mergeCell ref="AN15:AT15"/>
    <mergeCell ref="L14:Q14"/>
    <mergeCell ref="C16:J16"/>
    <mergeCell ref="K16:R16"/>
    <mergeCell ref="S16:Z16"/>
    <mergeCell ref="AA16:AG16"/>
    <mergeCell ref="AH16:AM16"/>
    <mergeCell ref="AN16:AT16"/>
    <mergeCell ref="C17:J17"/>
    <mergeCell ref="K17:R17"/>
    <mergeCell ref="S17:Z17"/>
    <mergeCell ref="AA17:AG17"/>
    <mergeCell ref="AH17:AM17"/>
    <mergeCell ref="AN17:AT17"/>
    <mergeCell ref="C18:J18"/>
    <mergeCell ref="K18:R18"/>
    <mergeCell ref="S18:Z18"/>
    <mergeCell ref="AA18:AG18"/>
    <mergeCell ref="AH18:AM18"/>
    <mergeCell ref="AN18:AT18"/>
    <mergeCell ref="C19:J19"/>
    <mergeCell ref="K19:R19"/>
    <mergeCell ref="S19:Z19"/>
    <mergeCell ref="AA19:AG19"/>
    <mergeCell ref="AH19:AM19"/>
    <mergeCell ref="AN19:AT19"/>
    <mergeCell ref="C20:J20"/>
    <mergeCell ref="K20:R20"/>
    <mergeCell ref="S20:Z20"/>
    <mergeCell ref="AA20:AG20"/>
    <mergeCell ref="AH20:AM20"/>
    <mergeCell ref="AN20:AT20"/>
    <mergeCell ref="C21:J21"/>
    <mergeCell ref="K21:R21"/>
    <mergeCell ref="S21:Z21"/>
    <mergeCell ref="AA21:AG21"/>
    <mergeCell ref="AH21:AM21"/>
    <mergeCell ref="AN21:AT21"/>
    <mergeCell ref="C22:J22"/>
    <mergeCell ref="K22:R22"/>
    <mergeCell ref="S22:Z22"/>
    <mergeCell ref="AA22:AG22"/>
    <mergeCell ref="AH22:AM22"/>
    <mergeCell ref="AN22:AT22"/>
    <mergeCell ref="C23:J23"/>
    <mergeCell ref="K23:R23"/>
    <mergeCell ref="S23:Z23"/>
    <mergeCell ref="AA23:AG23"/>
    <mergeCell ref="AH23:AM23"/>
    <mergeCell ref="AN23:AT23"/>
    <mergeCell ref="C43:J43"/>
    <mergeCell ref="K43:R43"/>
    <mergeCell ref="S43:Z43"/>
    <mergeCell ref="AA43:AG43"/>
    <mergeCell ref="AH43:AM43"/>
    <mergeCell ref="AN43:AT43"/>
    <mergeCell ref="K44:R44"/>
    <mergeCell ref="AA44:AG44"/>
    <mergeCell ref="AH44:AM44"/>
    <mergeCell ref="AN44:AT44"/>
    <mergeCell ref="AK45:AT45"/>
    <mergeCell ref="C48:N48"/>
    <mergeCell ref="P48:X48"/>
    <mergeCell ref="AA48:AM48"/>
    <mergeCell ref="AN49:AT49"/>
    <mergeCell ref="BH49:BK49"/>
    <mergeCell ref="C50:N50"/>
    <mergeCell ref="O50:Z50"/>
    <mergeCell ref="AA50:AM50"/>
    <mergeCell ref="AN50:AT50"/>
    <mergeCell ref="C51:N51"/>
    <mergeCell ref="O51:Z51"/>
    <mergeCell ref="AA51:AM51"/>
    <mergeCell ref="AN51:AT51"/>
    <mergeCell ref="BH51:BK51"/>
    <mergeCell ref="C52:N52"/>
    <mergeCell ref="O52:Z52"/>
    <mergeCell ref="AA52:AM52"/>
    <mergeCell ref="AN52:AT52"/>
    <mergeCell ref="BH52:BK52"/>
    <mergeCell ref="C53:N53"/>
    <mergeCell ref="O53:Z53"/>
    <mergeCell ref="AA53:AM53"/>
    <mergeCell ref="AN53:AT53"/>
    <mergeCell ref="BH53:BK53"/>
    <mergeCell ref="C54:N54"/>
    <mergeCell ref="AA54:AM54"/>
    <mergeCell ref="AN54:AT54"/>
    <mergeCell ref="O54:Q54"/>
    <mergeCell ref="R54:Z54"/>
    <mergeCell ref="C55:N55"/>
    <mergeCell ref="O55:Z55"/>
    <mergeCell ref="AA55:AM55"/>
    <mergeCell ref="AN55:AT55"/>
    <mergeCell ref="C56:N56"/>
    <mergeCell ref="O56:Z56"/>
    <mergeCell ref="AA56:AM56"/>
    <mergeCell ref="AN56:AT56"/>
    <mergeCell ref="V57:AB57"/>
    <mergeCell ref="AN57:AT57"/>
    <mergeCell ref="BN57:BQ57"/>
    <mergeCell ref="C58:J58"/>
    <mergeCell ref="K58:U58"/>
    <mergeCell ref="V58:AB58"/>
    <mergeCell ref="AC58:AM58"/>
    <mergeCell ref="AN58:AT58"/>
    <mergeCell ref="AX58:BQ58"/>
    <mergeCell ref="C59:J59"/>
    <mergeCell ref="K59:U59"/>
    <mergeCell ref="V59:AB59"/>
    <mergeCell ref="AC59:AM59"/>
    <mergeCell ref="AN59:AT59"/>
    <mergeCell ref="C60:J60"/>
    <mergeCell ref="K60:U60"/>
    <mergeCell ref="V60:AB60"/>
    <mergeCell ref="AC60:AM60"/>
    <mergeCell ref="AN60:AT60"/>
    <mergeCell ref="C61:J61"/>
    <mergeCell ref="K61:U61"/>
    <mergeCell ref="V61:AB61"/>
    <mergeCell ref="AC61:AM61"/>
    <mergeCell ref="AN61:AT61"/>
    <mergeCell ref="K62:AB62"/>
    <mergeCell ref="AC62:AT62"/>
    <mergeCell ref="AQ67:AS67"/>
    <mergeCell ref="K63:Q63"/>
    <mergeCell ref="R63:T63"/>
    <mergeCell ref="V63:AB63"/>
    <mergeCell ref="AC63:AI63"/>
    <mergeCell ref="AJ63:AL63"/>
    <mergeCell ref="AN63:AT63"/>
    <mergeCell ref="K65:N65"/>
    <mergeCell ref="O65:T65"/>
    <mergeCell ref="U65:X65"/>
    <mergeCell ref="Y65:AA65"/>
    <mergeCell ref="AC65:AF65"/>
    <mergeCell ref="AG65:AL65"/>
    <mergeCell ref="AM65:AP65"/>
    <mergeCell ref="AQ65:AS65"/>
    <mergeCell ref="B66:D67"/>
    <mergeCell ref="E66:J66"/>
    <mergeCell ref="K66:N66"/>
    <mergeCell ref="O66:T66"/>
    <mergeCell ref="Y66:AA66"/>
    <mergeCell ref="AC66:AF66"/>
    <mergeCell ref="AG66:AL66"/>
    <mergeCell ref="AQ66:AS66"/>
    <mergeCell ref="E67:J67"/>
    <mergeCell ref="K67:N67"/>
    <mergeCell ref="O67:T67"/>
    <mergeCell ref="Y67:AA67"/>
    <mergeCell ref="AC67:AF67"/>
    <mergeCell ref="AG67:AL67"/>
    <mergeCell ref="C70:N70"/>
    <mergeCell ref="O70:Y70"/>
    <mergeCell ref="Z70:AM70"/>
    <mergeCell ref="AN70:AT70"/>
    <mergeCell ref="C71:N71"/>
    <mergeCell ref="O71:Y71"/>
    <mergeCell ref="Z71:AM71"/>
    <mergeCell ref="AN71:AT71"/>
    <mergeCell ref="C72:N72"/>
    <mergeCell ref="O72:Y72"/>
    <mergeCell ref="Z72:AM72"/>
    <mergeCell ref="AN72:AT72"/>
    <mergeCell ref="B73:F74"/>
    <mergeCell ref="G73:O73"/>
    <mergeCell ref="P73:U73"/>
    <mergeCell ref="V73:Y73"/>
    <mergeCell ref="Z73:AB73"/>
    <mergeCell ref="AD73:AG73"/>
    <mergeCell ref="AN73:AP73"/>
    <mergeCell ref="AQ73:AS73"/>
    <mergeCell ref="G74:O74"/>
    <mergeCell ref="P74:U74"/>
    <mergeCell ref="V74:Y74"/>
    <mergeCell ref="Z74:AB74"/>
    <mergeCell ref="AD74:AG74"/>
    <mergeCell ref="AH74:AM74"/>
    <mergeCell ref="AN74:AP74"/>
    <mergeCell ref="AQ74:AS74"/>
    <mergeCell ref="Q77:V77"/>
    <mergeCell ref="Y77:AE77"/>
    <mergeCell ref="AF77:AJ77"/>
    <mergeCell ref="G78:M78"/>
    <mergeCell ref="Y78:AD78"/>
    <mergeCell ref="AH73:AM73"/>
    <mergeCell ref="Y79:AD79"/>
    <mergeCell ref="Y80:AD80"/>
    <mergeCell ref="Y81:AD81"/>
    <mergeCell ref="Y82:AD82"/>
    <mergeCell ref="G85:J85"/>
    <mergeCell ref="K85:N85"/>
    <mergeCell ref="O85:R85"/>
    <mergeCell ref="S85:V85"/>
    <mergeCell ref="W85:Z85"/>
    <mergeCell ref="AA85:AD85"/>
    <mergeCell ref="AI85:AL85"/>
    <mergeCell ref="AM85:AP85"/>
    <mergeCell ref="AQ85:AT85"/>
    <mergeCell ref="G86:J86"/>
    <mergeCell ref="K86:N86"/>
    <mergeCell ref="O86:R86"/>
    <mergeCell ref="S86:V86"/>
    <mergeCell ref="W86:Z86"/>
    <mergeCell ref="AA86:AD86"/>
    <mergeCell ref="G87:J87"/>
    <mergeCell ref="K87:N87"/>
    <mergeCell ref="O87:R87"/>
    <mergeCell ref="S87:V87"/>
    <mergeCell ref="W87:Z87"/>
    <mergeCell ref="AE85:AH85"/>
    <mergeCell ref="AA87:AD87"/>
    <mergeCell ref="AE87:AH87"/>
    <mergeCell ref="AE86:AH86"/>
    <mergeCell ref="AI86:AL86"/>
    <mergeCell ref="AM86:AP86"/>
    <mergeCell ref="AQ86:AT86"/>
    <mergeCell ref="G88:J88"/>
    <mergeCell ref="K88:N88"/>
    <mergeCell ref="O88:R88"/>
    <mergeCell ref="S88:V88"/>
    <mergeCell ref="W88:Z88"/>
    <mergeCell ref="AM88:AP88"/>
    <mergeCell ref="AQ88:AT88"/>
    <mergeCell ref="AW88:AZ88"/>
    <mergeCell ref="AA88:AD88"/>
    <mergeCell ref="AE88:AH88"/>
    <mergeCell ref="AI88:AL88"/>
    <mergeCell ref="AW86:AZ86"/>
    <mergeCell ref="AI87:AL87"/>
    <mergeCell ref="AM87:AP87"/>
    <mergeCell ref="AQ87:AT87"/>
    <mergeCell ref="AE90:AH90"/>
    <mergeCell ref="AI90:AL90"/>
    <mergeCell ref="AM90:AP90"/>
    <mergeCell ref="AQ90:AT90"/>
    <mergeCell ref="AW90:AZ90"/>
    <mergeCell ref="AM89:AP89"/>
    <mergeCell ref="AQ89:AT89"/>
    <mergeCell ref="AW89:AZ89"/>
    <mergeCell ref="AW87:AZ87"/>
    <mergeCell ref="AA89:AD89"/>
    <mergeCell ref="G90:J90"/>
    <mergeCell ref="K90:N90"/>
    <mergeCell ref="O90:R90"/>
    <mergeCell ref="S90:V90"/>
    <mergeCell ref="W90:Z90"/>
    <mergeCell ref="AA90:AD90"/>
    <mergeCell ref="AE89:AH89"/>
    <mergeCell ref="AI89:AL89"/>
    <mergeCell ref="G89:J89"/>
    <mergeCell ref="K89:N89"/>
    <mergeCell ref="O89:R89"/>
    <mergeCell ref="S89:V89"/>
    <mergeCell ref="W89:Z89"/>
  </mergeCells>
  <phoneticPr fontId="10"/>
  <dataValidations count="2">
    <dataValidation type="list" allowBlank="1" showInputMessage="1" showErrorMessage="1" sqref="B1:B3" xr:uid="{00000000-0002-0000-0100-000001000000}">
      <formula1>"■,□"</formula1>
    </dataValidation>
    <dataValidation type="list" allowBlank="1" showInputMessage="1" showErrorMessage="1" sqref="AW49 AW51:AW53" xr:uid="{00000000-0002-0000-0100-000000000000}">
      <formula1>"●,－"</formula1>
    </dataValidation>
  </dataValidations>
  <pageMargins left="0.78740157480314965" right="0.39370078740157483" top="0.47244094488188981" bottom="0.39370078740157483" header="0.31496062992125984" footer="0.19685039370078741"/>
  <pageSetup paperSize="9" scale="90" orientation="portrait" r:id="rId1"/>
  <headerFooter alignWithMargins="0">
    <oddHeader xml:space="preserve">&amp;R
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workbookViewId="0">
      <selection activeCell="D26" sqref="D26"/>
    </sheetView>
  </sheetViews>
  <sheetFormatPr defaultColWidth="9" defaultRowHeight="13.5"/>
  <cols>
    <col min="1" max="1" width="9.875" style="4" bestFit="1" customWidth="1"/>
    <col min="2" max="2" width="9" style="4" customWidth="1"/>
    <col min="3" max="3" width="9.125" style="4" bestFit="1" customWidth="1"/>
    <col min="4" max="6" width="13.625" style="4" customWidth="1"/>
    <col min="7" max="7" width="8.625" style="5" customWidth="1"/>
    <col min="8" max="8" width="2.25" style="5" customWidth="1"/>
    <col min="9" max="9" width="2.625" style="5" customWidth="1"/>
    <col min="10" max="10" width="30.375" style="5" bestFit="1" customWidth="1"/>
    <col min="11" max="11" width="2.5" style="5" bestFit="1" customWidth="1"/>
    <col min="12" max="12" width="11.5" style="5" customWidth="1"/>
    <col min="13" max="13" width="2.25" style="5" customWidth="1"/>
    <col min="14" max="16384" width="9" style="5"/>
  </cols>
  <sheetData>
    <row r="1" spans="1:13">
      <c r="A1" s="5"/>
      <c r="B1" s="5"/>
      <c r="D1" s="4" t="s">
        <v>40</v>
      </c>
      <c r="E1" s="4" t="s">
        <v>41</v>
      </c>
      <c r="F1" s="4" t="s">
        <v>42</v>
      </c>
    </row>
    <row r="2" spans="1:13">
      <c r="A2" s="5"/>
      <c r="B2" s="5"/>
      <c r="D2" s="4">
        <v>0</v>
      </c>
      <c r="E2" s="4">
        <v>10000</v>
      </c>
      <c r="F2" s="4">
        <v>0</v>
      </c>
    </row>
    <row r="3" spans="1:13">
      <c r="A3" s="5"/>
      <c r="B3" s="5"/>
      <c r="D3" s="4">
        <v>10001</v>
      </c>
      <c r="E3" s="4">
        <v>2000000</v>
      </c>
      <c r="F3" s="4">
        <v>200</v>
      </c>
    </row>
    <row r="4" spans="1:13">
      <c r="A4" s="5"/>
      <c r="B4" s="5"/>
      <c r="D4" s="4">
        <v>2000001</v>
      </c>
      <c r="E4" s="4">
        <v>3000000</v>
      </c>
      <c r="F4" s="4">
        <v>500</v>
      </c>
    </row>
    <row r="5" spans="1:13">
      <c r="A5" s="5"/>
      <c r="B5" s="5"/>
      <c r="D5" s="4">
        <v>3000001</v>
      </c>
      <c r="E5" s="4">
        <v>5000000</v>
      </c>
      <c r="F5" s="4">
        <v>1000</v>
      </c>
    </row>
    <row r="6" spans="1:13">
      <c r="A6" s="5"/>
      <c r="B6" s="5"/>
      <c r="D6" s="4">
        <v>5000001</v>
      </c>
      <c r="E6" s="4">
        <v>10000000</v>
      </c>
      <c r="F6" s="4">
        <v>5000</v>
      </c>
    </row>
    <row r="7" spans="1:13">
      <c r="A7" s="5"/>
      <c r="B7" s="5"/>
      <c r="D7" s="4">
        <v>10000001</v>
      </c>
      <c r="E7" s="4">
        <v>50000000</v>
      </c>
      <c r="F7" s="4">
        <v>10000</v>
      </c>
    </row>
    <row r="8" spans="1:13">
      <c r="A8" s="5"/>
      <c r="B8" s="5"/>
      <c r="D8" s="4">
        <v>50000001</v>
      </c>
      <c r="E8" s="4">
        <v>100000000</v>
      </c>
      <c r="F8" s="4">
        <v>30000</v>
      </c>
    </row>
    <row r="9" spans="1:13" ht="14.25" thickBot="1">
      <c r="A9" s="5"/>
      <c r="B9" s="5"/>
      <c r="D9" s="4">
        <v>100000001</v>
      </c>
      <c r="E9" s="4">
        <v>500000000</v>
      </c>
      <c r="F9" s="4">
        <v>60000</v>
      </c>
    </row>
    <row r="10" spans="1:13" ht="15.75" thickTop="1" thickBot="1">
      <c r="A10" s="5"/>
      <c r="B10" s="5"/>
      <c r="C10" s="7" t="e">
        <f>IF($A$18="","200円",VLOOKUP($A$18,$D$1:$F$13,3,TRUE()))</f>
        <v>#REF!</v>
      </c>
      <c r="D10" s="4">
        <v>500000001</v>
      </c>
      <c r="E10" s="4">
        <v>1000000000</v>
      </c>
      <c r="F10" s="4">
        <v>160000</v>
      </c>
    </row>
    <row r="11" spans="1:13" ht="14.25" thickTop="1">
      <c r="A11" s="5"/>
      <c r="B11" s="5"/>
      <c r="D11" s="4">
        <v>1000000001</v>
      </c>
      <c r="E11" s="4">
        <v>5000000000</v>
      </c>
      <c r="F11" s="4">
        <v>320000</v>
      </c>
    </row>
    <row r="16" spans="1:13" ht="14.25">
      <c r="A16" s="5"/>
      <c r="B16" s="5"/>
      <c r="M16" s="12"/>
    </row>
    <row r="17" spans="1:12" ht="14.25" thickBot="1">
      <c r="B17" s="5"/>
      <c r="C17" s="5"/>
      <c r="D17" s="5"/>
      <c r="E17" s="5"/>
      <c r="F17" s="5"/>
      <c r="I17" s="10"/>
      <c r="K17" s="11"/>
    </row>
    <row r="18" spans="1:12" ht="15" thickTop="1" thickBot="1">
      <c r="A18" s="6" t="e">
        <f>#REF!</f>
        <v>#REF!</v>
      </c>
      <c r="B18" s="5"/>
      <c r="C18" s="5"/>
      <c r="D18" s="5"/>
      <c r="E18" s="5"/>
      <c r="F18" s="5"/>
      <c r="J18" s="10"/>
      <c r="K18" s="11"/>
      <c r="L18" s="4"/>
    </row>
    <row r="19" spans="1:12" ht="14.25" thickTop="1">
      <c r="B19" s="5"/>
      <c r="C19" s="5"/>
      <c r="D19" s="5"/>
      <c r="E19" s="5"/>
      <c r="F19" s="5"/>
      <c r="J19" s="10"/>
      <c r="K19" s="11"/>
    </row>
    <row r="20" spans="1:12">
      <c r="J20" s="10"/>
      <c r="K20" s="11"/>
    </row>
  </sheetData>
  <phoneticPr fontId="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工事台帳  (記入例)</vt:lpstr>
      <vt:lpstr>QCDS</vt:lpstr>
      <vt:lpstr>印紙税額算定表1</vt:lpstr>
      <vt:lpstr>QCDS!Print_Area</vt:lpstr>
      <vt:lpstr>'工事台帳  (記入例)'!Print_Area</vt:lpstr>
    </vt:vector>
  </TitlesOfParts>
  <Company>KUMAGAIGUMI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(株)熊谷組</dc:creator>
  <cp:lastModifiedBy>clap 006</cp:lastModifiedBy>
  <cp:lastPrinted>2026-05-29T05:42:09Z</cp:lastPrinted>
  <dcterms:created xsi:type="dcterms:W3CDTF">2004-03-12T01:38:42Z</dcterms:created>
  <dcterms:modified xsi:type="dcterms:W3CDTF">2026-06-09T01:43:53Z</dcterms:modified>
</cp:coreProperties>
</file>